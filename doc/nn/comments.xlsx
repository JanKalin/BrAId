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8985" windowWidth="20970" windowHeight="8340"/>
  </bookViews>
  <sheets>
    <sheet name="Povzetek" sheetId="9" r:id="rId1"/>
    <sheet name="FFH_T" sheetId="2" r:id="rId2"/>
    <sheet name="FFM_T" sheetId="4" r:id="rId3"/>
    <sheet name="FTT_T" sheetId="6" r:id="rId4"/>
    <sheet name="FFH_F" sheetId="1" r:id="rId5"/>
    <sheet name="FFM_F" sheetId="3" r:id="rId6"/>
    <sheet name="FTT_F" sheetId="5" r:id="rId7"/>
    <sheet name="TFH_F" sheetId="7" r:id="rId8"/>
    <sheet name="TTT_F" sheetId="8" r:id="rId9"/>
  </sheets>
  <calcPr calcId="145621"/>
</workbook>
</file>

<file path=xl/calcChain.xml><?xml version="1.0" encoding="utf-8"?>
<calcChain xmlns="http://schemas.openxmlformats.org/spreadsheetml/2006/main">
  <c r="R11" i="9" l="1"/>
  <c r="Q11" i="9"/>
  <c r="G11" i="9"/>
  <c r="E11" i="9"/>
  <c r="F11" i="9"/>
  <c r="D11" i="9"/>
  <c r="V11" i="9"/>
  <c r="B11" i="9"/>
  <c r="V6" i="9"/>
  <c r="Q9" i="9"/>
  <c r="R9" i="9" s="1"/>
  <c r="S9" i="9"/>
  <c r="T9" i="9" s="1"/>
  <c r="F9" i="9"/>
  <c r="G9" i="9" s="1"/>
  <c r="D9" i="9"/>
  <c r="E9" i="9" s="1"/>
  <c r="K9" i="9"/>
  <c r="L9" i="9" s="1"/>
  <c r="I9" i="9"/>
  <c r="J9" i="9" s="1"/>
  <c r="H161" i="8"/>
  <c r="G161" i="8"/>
  <c r="F161" i="8"/>
  <c r="E161" i="8"/>
  <c r="D161" i="8"/>
  <c r="C161" i="8"/>
  <c r="B161" i="8"/>
  <c r="V8" i="9"/>
  <c r="W8" i="9" s="1"/>
  <c r="L8" i="9"/>
  <c r="J8" i="9"/>
  <c r="W4" i="9"/>
  <c r="V9" i="9" l="1"/>
  <c r="W9" i="9"/>
  <c r="W6" i="9"/>
  <c r="Q7" i="9"/>
  <c r="R7" i="9" s="1"/>
  <c r="O7" i="9"/>
  <c r="P7" i="9" s="1"/>
  <c r="M7" i="9"/>
  <c r="N7" i="9" s="1"/>
  <c r="F7" i="9"/>
  <c r="G7" i="9" s="1"/>
  <c r="D7" i="9"/>
  <c r="E7" i="9" s="1"/>
  <c r="K7" i="9"/>
  <c r="L7" i="9" s="1"/>
  <c r="I7" i="9"/>
  <c r="J7" i="9" s="1"/>
  <c r="C187" i="5"/>
  <c r="D187" i="5"/>
  <c r="E187" i="5"/>
  <c r="F187" i="5"/>
  <c r="G187" i="5"/>
  <c r="H187" i="5"/>
  <c r="B187" i="5"/>
  <c r="G6" i="9"/>
  <c r="W3" i="9"/>
  <c r="V2" i="9"/>
  <c r="W2" i="9" s="1"/>
  <c r="V5" i="9"/>
  <c r="W5" i="9" s="1"/>
  <c r="R6" i="9"/>
  <c r="P6" i="9"/>
  <c r="E6" i="9"/>
  <c r="L6" i="9"/>
  <c r="E5" i="9"/>
  <c r="J5" i="9"/>
  <c r="V7" i="9" l="1"/>
  <c r="W11" i="9" l="1"/>
  <c r="W7" i="9"/>
</calcChain>
</file>

<file path=xl/sharedStrings.xml><?xml version="1.0" encoding="utf-8"?>
<sst xmlns="http://schemas.openxmlformats.org/spreadsheetml/2006/main" count="1151" uniqueCount="656">
  <si>
    <t>File Name</t>
  </si>
  <si>
    <t>53646_22_FFH_F.png</t>
  </si>
  <si>
    <t>149097_122_FFH_F.png</t>
  </si>
  <si>
    <t>156798_22_FFH_F.png</t>
  </si>
  <si>
    <t>187985_111_FFH_F.png</t>
  </si>
  <si>
    <t>241877_122_FFH_F.png</t>
  </si>
  <si>
    <t>22182_122_FFH_T.png</t>
  </si>
  <si>
    <t>38386_113_FFH_T.png</t>
  </si>
  <si>
    <t>53138_113_FFH_T.png</t>
  </si>
  <si>
    <t>80879_1111_FFH_T.png</t>
  </si>
  <si>
    <t>103772_4_FFH_T.png</t>
  </si>
  <si>
    <t>104004_1211_FFH_T.png</t>
  </si>
  <si>
    <t>125950_22_FFH_T.png</t>
  </si>
  <si>
    <t>155185_122_FFH_T.png</t>
  </si>
  <si>
    <t>156521_122_FFH_T.png</t>
  </si>
  <si>
    <t>181229_122_FFH_T.png</t>
  </si>
  <si>
    <t>184666_1111_FFH_T.png</t>
  </si>
  <si>
    <t>186126_122_FFH_T.png</t>
  </si>
  <si>
    <t>194071_122_FFH_T.png</t>
  </si>
  <si>
    <t>209024_22_FFH_T.png</t>
  </si>
  <si>
    <t>209381_122_FFH_T.png</t>
  </si>
  <si>
    <t>214101_22_FFH_T.png</t>
  </si>
  <si>
    <t>214136_122_FFH_T.png</t>
  </si>
  <si>
    <t>9868_112_FFM_F.png</t>
  </si>
  <si>
    <t>10351_122_FFM_F.png</t>
  </si>
  <si>
    <t>39004_1211_FFM_F.png</t>
  </si>
  <si>
    <t>43452_1211_FFM_F.png</t>
  </si>
  <si>
    <t>43916_1211_FFM_F.png</t>
  </si>
  <si>
    <t>56916_1211_FFM_F.png</t>
  </si>
  <si>
    <t>63164_113_FFM_F.png</t>
  </si>
  <si>
    <t>79108_112_FFM_F.png</t>
  </si>
  <si>
    <t>98612_1211_FFM_F.png</t>
  </si>
  <si>
    <t>106148_1211_FFM_F.png</t>
  </si>
  <si>
    <t>115285_1211_FFM_F.png</t>
  </si>
  <si>
    <t>123518_1212_FFM_F.png</t>
  </si>
  <si>
    <t>141757_122_FFM_F.png</t>
  </si>
  <si>
    <t>158290_122_FFM_F.png</t>
  </si>
  <si>
    <t>179477_122_FFM_F.png</t>
  </si>
  <si>
    <t>189253_122_FFM_F.png</t>
  </si>
  <si>
    <t>189719_122_FFM_F.png</t>
  </si>
  <si>
    <t>195393_122_FFM_F.png</t>
  </si>
  <si>
    <t>200163_122_FFM_F.png</t>
  </si>
  <si>
    <t>201539_1111_FFM_F.png</t>
  </si>
  <si>
    <t>207544_122_FFM_F.png</t>
  </si>
  <si>
    <t>211549_1212_FFM_F.png</t>
  </si>
  <si>
    <t>216478_1211_FFM_F.png</t>
  </si>
  <si>
    <t>217821_1212_FFM_F.png</t>
  </si>
  <si>
    <t>221277_123_FFM_F.png</t>
  </si>
  <si>
    <t>223271_1211_FFM_F.png</t>
  </si>
  <si>
    <t>241723_122_FFM_F.png</t>
  </si>
  <si>
    <t>242519_122_FFM_F.png</t>
  </si>
  <si>
    <t>159640_1211_FFM_T.png</t>
  </si>
  <si>
    <t>170921_1211_FFM_T.png</t>
  </si>
  <si>
    <t>204397_122_FFM_T.png</t>
  </si>
  <si>
    <t>198_12_FTT_F.png</t>
  </si>
  <si>
    <t>1105_112_FTT_F.png</t>
  </si>
  <si>
    <t>1294_113_FTT_F.png</t>
  </si>
  <si>
    <t>1686_113_FTT_F.png</t>
  </si>
  <si>
    <t>2013_113_FTT_F.png</t>
  </si>
  <si>
    <t>2017_113_FTT_F.png</t>
  </si>
  <si>
    <t>2291_113_FTT_F.png</t>
  </si>
  <si>
    <t>2367_12_FTT_F.png</t>
  </si>
  <si>
    <t>2703_113_FTT_F.png</t>
  </si>
  <si>
    <t>3436_12_FTT_F.png</t>
  </si>
  <si>
    <t>3895_113_FTT_F.png</t>
  </si>
  <si>
    <t>4070_12_FTT_F.png</t>
  </si>
  <si>
    <t>4248_112_FTT_F.png</t>
  </si>
  <si>
    <t>4378_1211_FTT_F.png</t>
  </si>
  <si>
    <t>4770_12_FTT_F.png</t>
  </si>
  <si>
    <t>4774_113_FTT_F.png</t>
  </si>
  <si>
    <t>5188_12_FTT_F.png</t>
  </si>
  <si>
    <t>6066_113_FTT_F.png</t>
  </si>
  <si>
    <t>6388_113_FTT_F.png</t>
  </si>
  <si>
    <t>6391_113_FTT_F.png</t>
  </si>
  <si>
    <t>6571_122_FTT_F.png</t>
  </si>
  <si>
    <t>6711_112_FTT_F.png</t>
  </si>
  <si>
    <t>8109_113_FTT_F.png</t>
  </si>
  <si>
    <t>8639_122_FTT_F.png</t>
  </si>
  <si>
    <t>10136_112_FTT_F.png</t>
  </si>
  <si>
    <t>10184_113_FTT_F.png</t>
  </si>
  <si>
    <t>11023_112_FTT_F.png</t>
  </si>
  <si>
    <t>11179_113_FTT_F.png</t>
  </si>
  <si>
    <t>11634_113_FTT_F.png</t>
  </si>
  <si>
    <t>11836_113_FTT_F.png</t>
  </si>
  <si>
    <t>13181_112_FTT_F.png</t>
  </si>
  <si>
    <t>14080_113_FTT_F.png</t>
  </si>
  <si>
    <t>15268_112_FTT_F.png</t>
  </si>
  <si>
    <t>15369_112_FTT_F.png</t>
  </si>
  <si>
    <t>15999_113_FTT_F.png</t>
  </si>
  <si>
    <t>16006_112_FTT_F.png</t>
  </si>
  <si>
    <t>16105_113_FTT_F.png</t>
  </si>
  <si>
    <t>16163_113_FTT_F.png</t>
  </si>
  <si>
    <t>17265_113_FTT_F.png</t>
  </si>
  <si>
    <t>17472_112_FTT_F.png</t>
  </si>
  <si>
    <t>17790_113_FTT_F.png</t>
  </si>
  <si>
    <t>18595_112_FTT_F.png</t>
  </si>
  <si>
    <t>18678_113_FTT_F.png</t>
  </si>
  <si>
    <t>18679_1211_FTT_F.png</t>
  </si>
  <si>
    <t>18683_113_FTT_F.png</t>
  </si>
  <si>
    <t>18870_113_FTT_F.png</t>
  </si>
  <si>
    <t>19080_113_FTT_F.png</t>
  </si>
  <si>
    <t>19317_113_FTT_F.png</t>
  </si>
  <si>
    <t>20047_112_FTT_F.png</t>
  </si>
  <si>
    <t>20470_12_FTT_F.png</t>
  </si>
  <si>
    <t>20672_113_FTT_F.png</t>
  </si>
  <si>
    <t>20799_113_FTT_F.png</t>
  </si>
  <si>
    <t>20837_113_FTT_F.png</t>
  </si>
  <si>
    <t>20947_113_FTT_F.png</t>
  </si>
  <si>
    <t>22248_113_FTT_F.png</t>
  </si>
  <si>
    <t>22405_113_FTT_F.png</t>
  </si>
  <si>
    <t>23244_113_FTT_F.png</t>
  </si>
  <si>
    <t>24381_113_FTT_F.png</t>
  </si>
  <si>
    <t>27048_113_FTT_F.png</t>
  </si>
  <si>
    <t>28330_112_FTT_F.png</t>
  </si>
  <si>
    <t>28847_113_FTT_F.png</t>
  </si>
  <si>
    <t>29132_113_FTT_F.png</t>
  </si>
  <si>
    <t>29745_112_FTT_F.png</t>
  </si>
  <si>
    <t>29785_113_FTT_F.png</t>
  </si>
  <si>
    <t>30244_113_FTT_F.png</t>
  </si>
  <si>
    <t>30622_112_FTT_F.png</t>
  </si>
  <si>
    <t>30756_113_FTT_F.png</t>
  </si>
  <si>
    <t>32321_112_FTT_F.png</t>
  </si>
  <si>
    <t>33844_113_FTT_F.png</t>
  </si>
  <si>
    <t>34834_112_FTT_F.png</t>
  </si>
  <si>
    <t>35145_1211_FTT_F.png</t>
  </si>
  <si>
    <t>35569_113_FTT_F.png</t>
  </si>
  <si>
    <t>36899_113_FTT_F.png</t>
  </si>
  <si>
    <t>36910_113_FTT_F.png</t>
  </si>
  <si>
    <t>38174_113_FTT_F.png</t>
  </si>
  <si>
    <t>38783_113_FTT_F.png</t>
  </si>
  <si>
    <t>38823_113_FTT_F.png</t>
  </si>
  <si>
    <t>43413_113_FTT_F.png</t>
  </si>
  <si>
    <t>43462_113_FTT_F.png</t>
  </si>
  <si>
    <t>43732_113_FTT_F.png</t>
  </si>
  <si>
    <t>44632_113_FTT_F.png</t>
  </si>
  <si>
    <t>44973_113_FTT_F.png</t>
  </si>
  <si>
    <t>46316_112_FTT_F.png</t>
  </si>
  <si>
    <t>46595_113_FTT_F.png</t>
  </si>
  <si>
    <t>47095_113_FTT_F.png</t>
  </si>
  <si>
    <t>48551_113_FTT_F.png</t>
  </si>
  <si>
    <t>48672_112_FTT_F.png</t>
  </si>
  <si>
    <t>49080_112_FTT_F.png</t>
  </si>
  <si>
    <t>49427_112_FTT_F.png</t>
  </si>
  <si>
    <t>49851_113_FTT_F.png</t>
  </si>
  <si>
    <t>50003_113_FTT_F.png</t>
  </si>
  <si>
    <t>50283_113_FTT_F.png</t>
  </si>
  <si>
    <t>50454_113_FTT_F.png</t>
  </si>
  <si>
    <t>51641_113_FTT_F.png</t>
  </si>
  <si>
    <t>51875_113_FTT_F.png</t>
  </si>
  <si>
    <t>52491_113_FTT_F.png</t>
  </si>
  <si>
    <t>52677_113_FTT_F.png</t>
  </si>
  <si>
    <t>53661_113_FTT_F.png</t>
  </si>
  <si>
    <t>53838_113_FTT_F.png</t>
  </si>
  <si>
    <t>54210_113_FTT_F.png</t>
  </si>
  <si>
    <t>54414_113_FTT_F.png</t>
  </si>
  <si>
    <t>54944_113_FTT_F.png</t>
  </si>
  <si>
    <t>56495_113_FTT_F.png</t>
  </si>
  <si>
    <t>56759_113_FTT_F.png</t>
  </si>
  <si>
    <t>56862_113_FTT_F.png</t>
  </si>
  <si>
    <t>56879_113_FTT_F.png</t>
  </si>
  <si>
    <t>56919_113_FTT_F.png</t>
  </si>
  <si>
    <t>56930_113_FTT_F.png</t>
  </si>
  <si>
    <t>56984_113_FTT_F.png</t>
  </si>
  <si>
    <t>57224_113_FTT_F.png</t>
  </si>
  <si>
    <t>57342_113_FTT_F.png</t>
  </si>
  <si>
    <t>57672_113_FTT_F.png</t>
  </si>
  <si>
    <t>58532_113_FTT_F.png</t>
  </si>
  <si>
    <t>58581_113_FTT_F.png</t>
  </si>
  <si>
    <t>59222_113_FTT_F.png</t>
  </si>
  <si>
    <t>59333_113_FTT_F.png</t>
  </si>
  <si>
    <t>59838_113_FTT_F.png</t>
  </si>
  <si>
    <t>59879_113_FTT_F.png</t>
  </si>
  <si>
    <t>60544_113_FTT_F.png</t>
  </si>
  <si>
    <t>62562_113_FTT_F.png</t>
  </si>
  <si>
    <t>63567_113_FTT_F.png</t>
  </si>
  <si>
    <t>64441_113_FTT_F.png</t>
  </si>
  <si>
    <t>64462_113_FTT_F.png</t>
  </si>
  <si>
    <t>64608_1211_FTT_F.png</t>
  </si>
  <si>
    <t>65050_113_FTT_F.png</t>
  </si>
  <si>
    <t>65253_113_FTT_F.png</t>
  </si>
  <si>
    <t>65670_112_FTT_F.png</t>
  </si>
  <si>
    <t>66279_113_FTT_F.png</t>
  </si>
  <si>
    <t>66478_113_FTT_F.png</t>
  </si>
  <si>
    <t>67003_112_FTT_F.png</t>
  </si>
  <si>
    <t>67955_113_FTT_F.png</t>
  </si>
  <si>
    <t>68019_113_FTT_F.png</t>
  </si>
  <si>
    <t>68530_113_FTT_F.png</t>
  </si>
  <si>
    <t>68642_113_FTT_F.png</t>
  </si>
  <si>
    <t>68802_113_FTT_F.png</t>
  </si>
  <si>
    <t>69291_112_FTT_F.png</t>
  </si>
  <si>
    <t>69823_113_FTT_F.png</t>
  </si>
  <si>
    <t>70235_113_FTT_F.png</t>
  </si>
  <si>
    <t>71156_113_FTT_F.png</t>
  </si>
  <si>
    <t>71886_113_FTT_F.png</t>
  </si>
  <si>
    <t>71932_113_FTT_F.png</t>
  </si>
  <si>
    <t>72096_112_FTT_F.png</t>
  </si>
  <si>
    <t>72212_112_FTT_F.png</t>
  </si>
  <si>
    <t>72328_112_FTT_F.png</t>
  </si>
  <si>
    <t>72628_1211_FTT_F.png</t>
  </si>
  <si>
    <t>73524_112_FTT_F.png</t>
  </si>
  <si>
    <t>73569_112_FTT_F.png</t>
  </si>
  <si>
    <t>78007_112_FTT_F.png</t>
  </si>
  <si>
    <t>80283_113_FTT_F.png</t>
  </si>
  <si>
    <t>80574_112_FTT_F.png</t>
  </si>
  <si>
    <t>85748_112_FTT_F.png</t>
  </si>
  <si>
    <t>92691_1211_FTT_F.png</t>
  </si>
  <si>
    <t>106336_1211_FTT_F.png</t>
  </si>
  <si>
    <t>124238_1211_FTT_F.png</t>
  </si>
  <si>
    <t>145191_122_FTT_F.png</t>
  </si>
  <si>
    <t>145888_122_FTT_F.png</t>
  </si>
  <si>
    <t>147160_122_FTT_F.png</t>
  </si>
  <si>
    <t>148976_122_FTT_F.png</t>
  </si>
  <si>
    <t>160390_122_FTT_F.png</t>
  </si>
  <si>
    <t>173996_122_FTT_F.png</t>
  </si>
  <si>
    <t>180377_122_FTT_F.png</t>
  </si>
  <si>
    <t>182285_122_FTT_F.png</t>
  </si>
  <si>
    <t>187099_1211_FTT_F.png</t>
  </si>
  <si>
    <t>189333_122_FTT_F.png</t>
  </si>
  <si>
    <t>190673_1211_FTT_F.png</t>
  </si>
  <si>
    <t>190777_1211_FTT_F.png</t>
  </si>
  <si>
    <t>193517_1211_FTT_F.png</t>
  </si>
  <si>
    <t>209257_122_FTT_F.png</t>
  </si>
  <si>
    <t>218314_1211_FTT_F.png</t>
  </si>
  <si>
    <t>219570_122_FTT_F.png</t>
  </si>
  <si>
    <t>221218_122_FTT_F.png</t>
  </si>
  <si>
    <t>226972_1211_FTT_F.png</t>
  </si>
  <si>
    <t>232199_122_FTT_F.png</t>
  </si>
  <si>
    <t>237727_122_FTT_F.png</t>
  </si>
  <si>
    <t>239073_122_FTT_F.png</t>
  </si>
  <si>
    <t>240450_1211_FTT_F.png</t>
  </si>
  <si>
    <t>241687_113_FTT_F.png</t>
  </si>
  <si>
    <t>242547_113_FTT_F.png</t>
  </si>
  <si>
    <t>242583_113_FTT_F.png</t>
  </si>
  <si>
    <t>242637_12_FTT_F.png</t>
  </si>
  <si>
    <t>243475_113_FTT_F.png</t>
  </si>
  <si>
    <t>246647_113_FTT_F.png</t>
  </si>
  <si>
    <t>247527_113_FTT_F.png</t>
  </si>
  <si>
    <t>340_113_FTT_T.png</t>
  </si>
  <si>
    <t>870_113_FTT_T.png</t>
  </si>
  <si>
    <t>1229_122_FTT_T.png</t>
  </si>
  <si>
    <t>2004_12_FTT_T.png</t>
  </si>
  <si>
    <t>2303_113_FTT_T.png</t>
  </si>
  <si>
    <t>2721_113_FTT_T.png</t>
  </si>
  <si>
    <t>6099_113_FTT_T.png</t>
  </si>
  <si>
    <t>6741_113_FTT_T.png</t>
  </si>
  <si>
    <t>6881_122_FTT_T.png</t>
  </si>
  <si>
    <t>10446_113_FTT_T.png</t>
  </si>
  <si>
    <t>10469_1211_FTT_T.png</t>
  </si>
  <si>
    <t>11541_113_FTT_T.png</t>
  </si>
  <si>
    <t>11653_122_FTT_T.png</t>
  </si>
  <si>
    <t>11878_113_FTT_T.png</t>
  </si>
  <si>
    <t>12228_113_FTT_T.png</t>
  </si>
  <si>
    <t>13272_1211_FTT_T.png</t>
  </si>
  <si>
    <t>16103_1211_FTT_T.png</t>
  </si>
  <si>
    <t>16214_1211_FTT_T.png</t>
  </si>
  <si>
    <t>17410_1211_FTT_T.png</t>
  </si>
  <si>
    <t>17569_122_FTT_T.png</t>
  </si>
  <si>
    <t>17762_113_FTT_T.png</t>
  </si>
  <si>
    <t>18795_113_FTT_T.png</t>
  </si>
  <si>
    <t>19153_1211_FTT_T.png</t>
  </si>
  <si>
    <t>20265_113_FTT_T.png</t>
  </si>
  <si>
    <t>20859_12_FTT_T.png</t>
  </si>
  <si>
    <t>22055_1211_FTT_T.png</t>
  </si>
  <si>
    <t>22661_113_FTT_T.png</t>
  </si>
  <si>
    <t>24738_113_FTT_T.png</t>
  </si>
  <si>
    <t>25488_113_FTT_T.png</t>
  </si>
  <si>
    <t>28185_1211_FTT_T.png</t>
  </si>
  <si>
    <t>29736_113_FTT_T.png</t>
  </si>
  <si>
    <t>29829_1211_FTT_T.png</t>
  </si>
  <si>
    <t>30431_113_FTT_T.png</t>
  </si>
  <si>
    <t>33868_113_FTT_T.png</t>
  </si>
  <si>
    <t>34791_1211_FTT_T.png</t>
  </si>
  <si>
    <t>36378_1211_FTT_T.png</t>
  </si>
  <si>
    <t>37381_113_FTT_T.png</t>
  </si>
  <si>
    <t>38538_113_FTT_T.png</t>
  </si>
  <si>
    <t>40088_1211_FTT_T.png</t>
  </si>
  <si>
    <t>43349_113_FTT_T.png</t>
  </si>
  <si>
    <t>46317_1211_FTT_T.png</t>
  </si>
  <si>
    <t>46988_113_FTT_T.png</t>
  </si>
  <si>
    <t>47253_113_FTT_T.png</t>
  </si>
  <si>
    <t>48173_1211_FTT_T.png</t>
  </si>
  <si>
    <t>48871_113_FTT_T.png</t>
  </si>
  <si>
    <t>49863_1211_FTT_T.png</t>
  </si>
  <si>
    <t>50159_113_FTT_T.png</t>
  </si>
  <si>
    <t>50309_113_FTT_T.png</t>
  </si>
  <si>
    <t>52472_1211_FTT_T.png</t>
  </si>
  <si>
    <t>52580_1211_FTT_T.png</t>
  </si>
  <si>
    <t>53670_1211_FTT_T.png</t>
  </si>
  <si>
    <t>54255_1211_FTT_T.png</t>
  </si>
  <si>
    <t>55101_113_FTT_T.png</t>
  </si>
  <si>
    <t>56757_113_FTT_T.png</t>
  </si>
  <si>
    <t>56794_113_FTT_T.png</t>
  </si>
  <si>
    <t>56986_113_FTT_T.png</t>
  </si>
  <si>
    <t>58153_113_FTT_T.png</t>
  </si>
  <si>
    <t>58810_1211_FTT_T.png</t>
  </si>
  <si>
    <t>59436_1211_FTT_T.png</t>
  </si>
  <si>
    <t>60117_1211_FTT_T.png</t>
  </si>
  <si>
    <t>61798_1211_FTT_T.png</t>
  </si>
  <si>
    <t>62713_1211_FTT_T.png</t>
  </si>
  <si>
    <t>64143_1211_FTT_T.png</t>
  </si>
  <si>
    <t>64179_1211_FTT_T.png</t>
  </si>
  <si>
    <t>65405_113_FTT_T.png</t>
  </si>
  <si>
    <t>65663_1211_FTT_T.png</t>
  </si>
  <si>
    <t>66468_113_FTT_T.png</t>
  </si>
  <si>
    <t>67690_113_FTT_T.png</t>
  </si>
  <si>
    <t>68324_113_FTT_T.png</t>
  </si>
  <si>
    <t>71042_1211_FTT_T.png</t>
  </si>
  <si>
    <t>71627_113_FTT_T.png</t>
  </si>
  <si>
    <t>73564_1211_FTT_T.png</t>
  </si>
  <si>
    <t>74696_1211_FTT_T.png</t>
  </si>
  <si>
    <t>74915_1211_FTT_T.png</t>
  </si>
  <si>
    <t>76307_1211_FTT_T.png</t>
  </si>
  <si>
    <t>78294_1211_FTT_T.png</t>
  </si>
  <si>
    <t>83243_1211_FTT_T.png</t>
  </si>
  <si>
    <t>84762_1211_FTT_T.png</t>
  </si>
  <si>
    <t>91578_1211_FTT_T.png</t>
  </si>
  <si>
    <t>92072_1211_FTT_T.png</t>
  </si>
  <si>
    <t>92291_1211_FTT_T.png</t>
  </si>
  <si>
    <t>92598_1211_FTT_T.png</t>
  </si>
  <si>
    <t>94459_1211_FTT_T.png</t>
  </si>
  <si>
    <t>94762_1211_FTT_T.png</t>
  </si>
  <si>
    <t>96440_1211_FTT_T.png</t>
  </si>
  <si>
    <t>98686_1211_FTT_T.png</t>
  </si>
  <si>
    <t>100477_1211_FTT_T.png</t>
  </si>
  <si>
    <t>102418_1211_FTT_T.png</t>
  </si>
  <si>
    <t>102755_1211_FTT_T.png</t>
  </si>
  <si>
    <t>105271_1211_FTT_T.png</t>
  </si>
  <si>
    <t>110555_1211_FTT_T.png</t>
  </si>
  <si>
    <t>110706_1211_FTT_T.png</t>
  </si>
  <si>
    <t>112831_1211_FTT_T.png</t>
  </si>
  <si>
    <t>118157_1211_FTT_T.png</t>
  </si>
  <si>
    <t>118333_1211_FTT_T.png</t>
  </si>
  <si>
    <t>119896_1211_FTT_T.png</t>
  </si>
  <si>
    <t>122204_1211_FTT_T.png</t>
  </si>
  <si>
    <t>123989_1211_FTT_T.png</t>
  </si>
  <si>
    <t>124159_1211_FTT_T.png</t>
  </si>
  <si>
    <t>124481_1211_FTT_T.png</t>
  </si>
  <si>
    <t>125088_1211_FTT_T.png</t>
  </si>
  <si>
    <t>125865_1211_FTT_T.png</t>
  </si>
  <si>
    <t>126010_1211_FTT_T.png</t>
  </si>
  <si>
    <t>128392_1211_FTT_T.png</t>
  </si>
  <si>
    <t>128737_1211_FTT_T.png</t>
  </si>
  <si>
    <t>128874_1211_FTT_T.png</t>
  </si>
  <si>
    <t>132362_1211_FTT_T.png</t>
  </si>
  <si>
    <t>133324_1211_FTT_T.png</t>
  </si>
  <si>
    <t>134061_122_FTT_T.png</t>
  </si>
  <si>
    <t>134346_1211_FTT_T.png</t>
  </si>
  <si>
    <t>135095_122_FTT_T.png</t>
  </si>
  <si>
    <t>136437_1211_FTT_T.png</t>
  </si>
  <si>
    <t>139741_1211_FTT_T.png</t>
  </si>
  <si>
    <t>141551_1211_FTT_T.png</t>
  </si>
  <si>
    <t>143063_1211_FTT_T.png</t>
  </si>
  <si>
    <t>143433_1211_FTT_T.png</t>
  </si>
  <si>
    <t>145566_1211_FTT_T.png</t>
  </si>
  <si>
    <t>148835_1211_FTT_T.png</t>
  </si>
  <si>
    <t>151560_1211_FTT_T.png</t>
  </si>
  <si>
    <t>153015_122_FTT_T.png</t>
  </si>
  <si>
    <t>153530_122_FTT_T.png</t>
  </si>
  <si>
    <t>153729_1211_FTT_T.png</t>
  </si>
  <si>
    <t>154652_1211_FTT_T.png</t>
  </si>
  <si>
    <t>155595_122_FTT_T.png</t>
  </si>
  <si>
    <t>155959_122_FTT_T.png</t>
  </si>
  <si>
    <t>156752_1211_FTT_T.png</t>
  </si>
  <si>
    <t>164014_1211_FTT_T.png</t>
  </si>
  <si>
    <t>165773_122_FTT_T.png</t>
  </si>
  <si>
    <t>169343_1211_FTT_T.png</t>
  </si>
  <si>
    <t>169784_122_FTT_T.png</t>
  </si>
  <si>
    <t>171575_1211_FTT_T.png</t>
  </si>
  <si>
    <t>172621_122_FTT_T.png</t>
  </si>
  <si>
    <t>176946_1211_FTT_T.png</t>
  </si>
  <si>
    <t>179894_1211_FTT_T.png</t>
  </si>
  <si>
    <t>182465_1211_FTT_T.png</t>
  </si>
  <si>
    <t>183956_122_FTT_T.png</t>
  </si>
  <si>
    <t>185624_122_FTT_T.png</t>
  </si>
  <si>
    <t>189967_1211_FTT_T.png</t>
  </si>
  <si>
    <t>190527_122_FTT_T.png</t>
  </si>
  <si>
    <t>192517_1211_FTT_T.png</t>
  </si>
  <si>
    <t>193188_1211_FTT_T.png</t>
  </si>
  <si>
    <t>193677_122_FTT_T.png</t>
  </si>
  <si>
    <t>193696_1211_FTT_T.png</t>
  </si>
  <si>
    <t>193930_1211_FTT_T.png</t>
  </si>
  <si>
    <t>195285_1211_FTT_T.png</t>
  </si>
  <si>
    <t>199512_1211_FTT_T.png</t>
  </si>
  <si>
    <t>206630_122_FTT_T.png</t>
  </si>
  <si>
    <t>207514_1211_FTT_T.png</t>
  </si>
  <si>
    <t>207516_1211_FTT_T.png</t>
  </si>
  <si>
    <t>207776_122_FTT_T.png</t>
  </si>
  <si>
    <t>209343_122_FTT_T.png</t>
  </si>
  <si>
    <t>210061_122_FTT_T.png</t>
  </si>
  <si>
    <t>211285_122_FTT_T.png</t>
  </si>
  <si>
    <t>211305_1211_FTT_T.png</t>
  </si>
  <si>
    <t>213100_1211_FTT_T.png</t>
  </si>
  <si>
    <t>215558_122_FTT_T.png</t>
  </si>
  <si>
    <t>216223_122_FTT_T.png</t>
  </si>
  <si>
    <t>220937_1211_FTT_T.png</t>
  </si>
  <si>
    <t>223264_1211_FTT_T.png</t>
  </si>
  <si>
    <t>226284_1211_FTT_T.png</t>
  </si>
  <si>
    <t>226454_122_FTT_T.png</t>
  </si>
  <si>
    <t>227474_122_FTT_T.png</t>
  </si>
  <si>
    <t>228422_1211_FTT_T.png</t>
  </si>
  <si>
    <t>229720_1211_FTT_T.png</t>
  </si>
  <si>
    <t>230812_122_FTT_T.png</t>
  </si>
  <si>
    <t>231257_1211_FTT_T.png</t>
  </si>
  <si>
    <t>231260_1211_FTT_T.png</t>
  </si>
  <si>
    <t>231843_1211_FTT_T.png</t>
  </si>
  <si>
    <t>233698_122_FTT_T.png</t>
  </si>
  <si>
    <t>236637_1211_FTT_T.png</t>
  </si>
  <si>
    <t>238394_1211_FTT_T.png</t>
  </si>
  <si>
    <t>239068_1211_FTT_T.png</t>
  </si>
  <si>
    <t>239668_1211_FTT_T.png</t>
  </si>
  <si>
    <t>241904_1211_FTT_T.png</t>
  </si>
  <si>
    <t>242053_1211_FTT_T.png</t>
  </si>
  <si>
    <t>242413_1211_FTT_T.png</t>
  </si>
  <si>
    <t>246287_1211_FTT_T.png</t>
  </si>
  <si>
    <t>294_11_TFH_F.png</t>
  </si>
  <si>
    <t>348_11_TFH_F.png</t>
  </si>
  <si>
    <t>567_11_TFH_F.png</t>
  </si>
  <si>
    <t>798_11_TFH_F.png</t>
  </si>
  <si>
    <t>1882_11_TFH_F.png</t>
  </si>
  <si>
    <t>1885_11_TFH_F.png</t>
  </si>
  <si>
    <t>1900_11_TFH_F.png</t>
  </si>
  <si>
    <t>1963_11_TFH_F.png</t>
  </si>
  <si>
    <t>2027_11_TFH_F.png</t>
  </si>
  <si>
    <t>2256_11_TFH_F.png</t>
  </si>
  <si>
    <t>2487_11_TFH_F.png</t>
  </si>
  <si>
    <t>2645_11_TFH_F.png</t>
  </si>
  <si>
    <t>3476_11_TFH_F.png</t>
  </si>
  <si>
    <t>3481_11_TFH_F.png</t>
  </si>
  <si>
    <t>3483_11_TFH_F.png</t>
  </si>
  <si>
    <t>3508_11_TFH_F.png</t>
  </si>
  <si>
    <t>3536_11_TFH_F.png</t>
  </si>
  <si>
    <t>3880_11_TFH_F.png</t>
  </si>
  <si>
    <t>3956_11_TFH_F.png</t>
  </si>
  <si>
    <t>4310_11_TFH_F.png</t>
  </si>
  <si>
    <t>4787_11_TFH_F.png</t>
  </si>
  <si>
    <t>4933_11_TFH_F.png</t>
  </si>
  <si>
    <t>5020_11_TFH_F.png</t>
  </si>
  <si>
    <t>5035_11_TFH_F.png</t>
  </si>
  <si>
    <t>5257_11_TFH_F.png</t>
  </si>
  <si>
    <t>6005_11_TFH_F.png</t>
  </si>
  <si>
    <t>6415_11_TFH_F.png</t>
  </si>
  <si>
    <t>6509_11_TFH_F.png</t>
  </si>
  <si>
    <t>6710_11_TFH_F.png</t>
  </si>
  <si>
    <t>7772_11_TFH_F.png</t>
  </si>
  <si>
    <t>7912_11_TFH_F.png</t>
  </si>
  <si>
    <t>8078_11_TFH_F.png</t>
  </si>
  <si>
    <t>8930_11_TFH_F.png</t>
  </si>
  <si>
    <t>9667_11_TFH_F.png</t>
  </si>
  <si>
    <t>10092_11_TFH_F.png</t>
  </si>
  <si>
    <t>10386_11_TFH_F.png</t>
  </si>
  <si>
    <t>10624_11_TFH_F.png</t>
  </si>
  <si>
    <t>11271_11_TFH_F.png</t>
  </si>
  <si>
    <t>11753_11_TFH_F.png</t>
  </si>
  <si>
    <t>12301_11_TFH_F.png</t>
  </si>
  <si>
    <t>12724_11_TFH_F.png</t>
  </si>
  <si>
    <t>13153_11_TFH_F.png</t>
  </si>
  <si>
    <t>482_113_TTT_F.png</t>
  </si>
  <si>
    <t>1327_113_TTT_F.png</t>
  </si>
  <si>
    <t>1905_11_TTT_F.png</t>
  </si>
  <si>
    <t>2558_11_TTT_F.png</t>
  </si>
  <si>
    <t>2903_113_TTT_F.png</t>
  </si>
  <si>
    <t>4219_113_TTT_F.png</t>
  </si>
  <si>
    <t>4862_122_TTT_F.png</t>
  </si>
  <si>
    <t>4993_1211_TTT_F.png</t>
  </si>
  <si>
    <t>5891_2222_TTT_F.png</t>
  </si>
  <si>
    <t>7097_11_TTT_F.png</t>
  </si>
  <si>
    <t>8169_11_TTT_F.png</t>
  </si>
  <si>
    <t>9578_113_TTT_F.png</t>
  </si>
  <si>
    <t>9713_11_TTT_F.png</t>
  </si>
  <si>
    <t>10256_1211_TTT_F.png</t>
  </si>
  <si>
    <t>10493_123_TTT_F.png</t>
  </si>
  <si>
    <t>10502_113_TTT_F.png</t>
  </si>
  <si>
    <t>10691_11_TTT_F.png</t>
  </si>
  <si>
    <t>11140_11_TTT_F.png</t>
  </si>
  <si>
    <t>11594_113_TTT_F.png</t>
  </si>
  <si>
    <t>12740_112_TTT_F.png</t>
  </si>
  <si>
    <t>13486_11_TTT_F.png</t>
  </si>
  <si>
    <t>13530_113_TTT_F.png</t>
  </si>
  <si>
    <t>16116_113_TTT_F.png</t>
  </si>
  <si>
    <t>17242_113_TTT_F.png</t>
  </si>
  <si>
    <t>18013_113_TTT_F.png</t>
  </si>
  <si>
    <t>18398_113_TTT_F.png</t>
  </si>
  <si>
    <t>18794_122_TTT_F.png</t>
  </si>
  <si>
    <t>19619_113_TTT_F.png</t>
  </si>
  <si>
    <t>20711_122_TTT_F.png</t>
  </si>
  <si>
    <t>21017_122_TTT_F.png</t>
  </si>
  <si>
    <t>21142_113_TTT_F.png</t>
  </si>
  <si>
    <t>21387_113_TTT_F.png</t>
  </si>
  <si>
    <t>22133_113_TTT_F.png</t>
  </si>
  <si>
    <t>22347_113_TTT_F.png</t>
  </si>
  <si>
    <t>22755_113_TTT_F.png</t>
  </si>
  <si>
    <t>22771_113_TTT_F.png</t>
  </si>
  <si>
    <t>23360_121_TTT_F.png</t>
  </si>
  <si>
    <t>24479_112_TTT_F.png</t>
  </si>
  <si>
    <t>24883_1211_TTT_F.png</t>
  </si>
  <si>
    <t>25230_113_TTT_F.png</t>
  </si>
  <si>
    <t>25678_112_TTT_F.png</t>
  </si>
  <si>
    <t>32265_22_TTT_F.png</t>
  </si>
  <si>
    <t>33326_123_TTT_F.png</t>
  </si>
  <si>
    <t>33343_113_TTT_F.png</t>
  </si>
  <si>
    <t>34802_111_TTT_F.png</t>
  </si>
  <si>
    <t>35179_113_TTT_F.png</t>
  </si>
  <si>
    <t>36243_1222_TTT_F.png</t>
  </si>
  <si>
    <t>36458_113_TTT_F.png</t>
  </si>
  <si>
    <t>36594_113_TTT_F.png</t>
  </si>
  <si>
    <t>37107_113_TTT_F.png</t>
  </si>
  <si>
    <t>37944_113_TTT_F.png</t>
  </si>
  <si>
    <t>38702_113_TTT_F.png</t>
  </si>
  <si>
    <t>38740_113_TTT_F.png</t>
  </si>
  <si>
    <t>40359_22_TTT_F.png</t>
  </si>
  <si>
    <t>40398_1211_TTT_F.png</t>
  </si>
  <si>
    <t>42297_1211_TTT_F.png</t>
  </si>
  <si>
    <t>43589_112_TTT_F.png</t>
  </si>
  <si>
    <t>43747_113_TTT_F.png</t>
  </si>
  <si>
    <t>43886_113_TTT_F.png</t>
  </si>
  <si>
    <t>45333_113_TTT_F.png</t>
  </si>
  <si>
    <t>46479_113_TTT_F.png</t>
  </si>
  <si>
    <t>47086_112_TTT_F.png</t>
  </si>
  <si>
    <t>48578_113_TTT_F.png</t>
  </si>
  <si>
    <t>50035_113_TTT_F.png</t>
  </si>
  <si>
    <t>50573_1211_TTT_F.png</t>
  </si>
  <si>
    <t>50612_113_TTT_F.png</t>
  </si>
  <si>
    <t>50664_113_TTT_F.png</t>
  </si>
  <si>
    <t>50892_1211_TTT_F.png</t>
  </si>
  <si>
    <t>52014_113_TTT_F.png</t>
  </si>
  <si>
    <t>52568_112_TTT_F.png</t>
  </si>
  <si>
    <t>52673_113_TTT_F.png</t>
  </si>
  <si>
    <t>52871_113_TTT_F.png</t>
  </si>
  <si>
    <t>53484_113_TTT_F.png</t>
  </si>
  <si>
    <t>53674_113_TTT_F.png</t>
  </si>
  <si>
    <t>54063_113_TTT_F.png</t>
  </si>
  <si>
    <t>54082_113_TTT_F.png</t>
  </si>
  <si>
    <t>54105_113_TTT_F.png</t>
  </si>
  <si>
    <t>57447_113_TTT_F.png</t>
  </si>
  <si>
    <t>58703_1211_TTT_F.png</t>
  </si>
  <si>
    <t>59133_1211_TTT_F.png</t>
  </si>
  <si>
    <t>59668_113_TTT_F.png</t>
  </si>
  <si>
    <t>59854_22_TTT_F.png</t>
  </si>
  <si>
    <t>60985_113_TTT_F.png</t>
  </si>
  <si>
    <t>62675_113_TTT_F.png</t>
  </si>
  <si>
    <t>62710_113_TTT_F.png</t>
  </si>
  <si>
    <t>62937_1222_TTT_F.png</t>
  </si>
  <si>
    <t>63548_113_TTT_F.png</t>
  </si>
  <si>
    <t>64680_113_TTT_F.png</t>
  </si>
  <si>
    <t>64980_113_TTT_F.png</t>
  </si>
  <si>
    <t>65499_1211_TTT_F.png</t>
  </si>
  <si>
    <t>66213_112_TTT_F.png</t>
  </si>
  <si>
    <t>67233_1212_TTT_F.png</t>
  </si>
  <si>
    <t>69570_113_TTT_F.png</t>
  </si>
  <si>
    <t>75637_111_TTT_F.png</t>
  </si>
  <si>
    <t>76043_111_TTT_F.png</t>
  </si>
  <si>
    <t>78657_1211_TTT_F.png</t>
  </si>
  <si>
    <t>80999_112_TTT_F.png</t>
  </si>
  <si>
    <t>85524_1212_TTT_F.png</t>
  </si>
  <si>
    <t>88362_1212_TTT_F.png</t>
  </si>
  <si>
    <t>99015_1211_TTT_F.png</t>
  </si>
  <si>
    <t>104127_1211_TTT_F.png</t>
  </si>
  <si>
    <t>113879_22_TTT_F.png</t>
  </si>
  <si>
    <t>114403_1222_TTT_F.png</t>
  </si>
  <si>
    <t>118066_1212_TTT_F.png</t>
  </si>
  <si>
    <t>118919_111_TTT_F.png</t>
  </si>
  <si>
    <t>122037_1211_TTT_F.png</t>
  </si>
  <si>
    <t>122759_111_TTT_F.png</t>
  </si>
  <si>
    <t>125265_1112_TTT_F.png</t>
  </si>
  <si>
    <t>133338_1211_TTT_F.png</t>
  </si>
  <si>
    <t>135844_1211_TTT_F.png</t>
  </si>
  <si>
    <t>136040_1211_TTT_F.png</t>
  </si>
  <si>
    <t>146188_1211_TTT_F.png</t>
  </si>
  <si>
    <t>150012_1211_TTT_F.png</t>
  </si>
  <si>
    <t>151488_1211_TTT_F.png</t>
  </si>
  <si>
    <t>151592_111_TTT_F.png</t>
  </si>
  <si>
    <t>152110_123_TTT_F.png</t>
  </si>
  <si>
    <t>152273_122_TTT_F.png</t>
  </si>
  <si>
    <t>154447_122_TTT_F.png</t>
  </si>
  <si>
    <t>156422_122_TTT_F.png</t>
  </si>
  <si>
    <t>159908_122_TTT_F.png</t>
  </si>
  <si>
    <t>162577_1222_TTT_F.png</t>
  </si>
  <si>
    <t>162720_1211_TTT_F.png</t>
  </si>
  <si>
    <t>163015_111_TTT_F.png</t>
  </si>
  <si>
    <t>163186_114_TTT_F.png</t>
  </si>
  <si>
    <t>166504_1211_TTT_F.png</t>
  </si>
  <si>
    <t>169595_122_TTT_F.png</t>
  </si>
  <si>
    <t>170024_111_TTT_F.png</t>
  </si>
  <si>
    <t>179508_122_TTT_F.png</t>
  </si>
  <si>
    <t>182582_1211_TTT_F.png</t>
  </si>
  <si>
    <t>183534_122_TTT_F.png</t>
  </si>
  <si>
    <t>184251_1211_TTT_F.png</t>
  </si>
  <si>
    <t>185655_111_TTT_F.png</t>
  </si>
  <si>
    <t>187526_122_TTT_F.png</t>
  </si>
  <si>
    <t>194365_111_TTT_F.png</t>
  </si>
  <si>
    <t>195181_111_TTT_F.png</t>
  </si>
  <si>
    <t>195818_122_TTT_F.png</t>
  </si>
  <si>
    <t>200207_1211_TTT_F.png</t>
  </si>
  <si>
    <t>203358_1211_TTT_F.png</t>
  </si>
  <si>
    <t>203684_122_TTT_F.png</t>
  </si>
  <si>
    <t>203781_1212_TTT_F.png</t>
  </si>
  <si>
    <t>207165_1211_TTT_F.png</t>
  </si>
  <si>
    <t>207279_122_TTT_F.png</t>
  </si>
  <si>
    <t>208654_122_TTT_F.png</t>
  </si>
  <si>
    <t>213290_22_TTT_F.png</t>
  </si>
  <si>
    <t>215382_22_TTT_F.png</t>
  </si>
  <si>
    <t>217444_122_TTT_F.png</t>
  </si>
  <si>
    <t>217619_1211_TTT_F.png</t>
  </si>
  <si>
    <t>218688_122_TTT_F.png</t>
  </si>
  <si>
    <t>227095_1211_TTT_F.png</t>
  </si>
  <si>
    <t>232332_111_TTT_F.png</t>
  </si>
  <si>
    <t>240585_122_TTT_F.png</t>
  </si>
  <si>
    <t>240844_111_TTT_F.png</t>
  </si>
  <si>
    <t>242087_111_TTT_F.png</t>
  </si>
  <si>
    <t>242296_113_TTT_F.png</t>
  </si>
  <si>
    <t>245567_1211_TTT_F.png</t>
  </si>
  <si>
    <t>248054_123_TTT_F.png</t>
  </si>
  <si>
    <t>248594_11_TTT_F.png</t>
  </si>
  <si>
    <t>FFH_F.txt</t>
  </si>
  <si>
    <t>FFH_T.txt</t>
  </si>
  <si>
    <t>FFM_F.txt</t>
  </si>
  <si>
    <t>FFM_T.txt</t>
  </si>
  <si>
    <t>FTT_F.txt</t>
  </si>
  <si>
    <t>FTT_T.txt</t>
  </si>
  <si>
    <t>TFH_F.txt</t>
  </si>
  <si>
    <t>TTT_F.txt</t>
  </si>
  <si>
    <t>Vozil</t>
  </si>
  <si>
    <t>Oddaljene osi</t>
  </si>
  <si>
    <t>Komentar</t>
  </si>
  <si>
    <t>Vozili blizu</t>
  </si>
  <si>
    <t>Izgubil prvo v 22</t>
  </si>
  <si>
    <t>Slaba slika</t>
  </si>
  <si>
    <t>Haluciniral</t>
  </si>
  <si>
    <t>Oddaljena os</t>
  </si>
  <si>
    <t>Dodatno</t>
  </si>
  <si>
    <t>Hevristika</t>
  </si>
  <si>
    <t>X</t>
  </si>
  <si>
    <t>Hevristika pravilno popravila vsa vozila, popolno ujemanje z AI</t>
  </si>
  <si>
    <t>Zamik osi</t>
  </si>
  <si>
    <t>Halucinacija</t>
  </si>
  <si>
    <t>Ostalo</t>
  </si>
  <si>
    <t>Rocna napaka</t>
  </si>
  <si>
    <t>Kratek signal</t>
  </si>
  <si>
    <t>Rocni popravki vsi OK, popolno ujemanje z AI</t>
  </si>
  <si>
    <t>Napak rekon.</t>
  </si>
  <si>
    <t>Izgubil os</t>
  </si>
  <si>
    <t>Tezek primer, vozilo cez rob pasu</t>
  </si>
  <si>
    <t>Zelo lahka os avtomobila tik za kemperjem</t>
  </si>
  <si>
    <t>Lahka os praznega priklopnika</t>
  </si>
  <si>
    <t>Cisto z vozisca</t>
  </si>
  <si>
    <t>Napaka rekons.</t>
  </si>
  <si>
    <t>AI OK</t>
  </si>
  <si>
    <t>SiWIM napaka</t>
  </si>
  <si>
    <t>Napaka pregleda</t>
  </si>
  <si>
    <t>Izgubljena os</t>
  </si>
  <si>
    <t>Zelo lahki osi med dvema tezjima paroma</t>
  </si>
  <si>
    <t>Mora tudi ni izgubljena - polpriklopnik je lahek</t>
  </si>
  <si>
    <t>Na robu</t>
  </si>
  <si>
    <t>Tezko reci kaj je narobe</t>
  </si>
  <si>
    <t xml:space="preserve"> </t>
  </si>
  <si>
    <t>Napacna rekonstrukcija in popravek s hevristiko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</si>
</sst>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9" fontId="0" fillId="0" borderId="0" xfId="2" applyFon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R11" sqref="R11"/>
    </sheetView>
  </sheetViews>
  <sheetFormatPr defaultRowHeight="15" x14ac:dyDescent="0.25"/>
  <cols>
    <col min="1" max="1" width="10" bestFit="1" customWidth="1"/>
    <col min="2" max="2" width="5.42578125" bestFit="1" customWidth="1"/>
    <col min="3" max="3" width="6.140625" customWidth="1"/>
    <col min="4" max="4" width="6.5703125" customWidth="1"/>
    <col min="5" max="5" width="5" customWidth="1"/>
    <col min="6" max="6" width="9" customWidth="1"/>
    <col min="7" max="7" width="4.5703125" customWidth="1"/>
    <col min="8" max="8" width="7.28515625" customWidth="1"/>
    <col min="9" max="9" width="8.5703125" customWidth="1"/>
    <col min="10" max="10" width="5.140625" customWidth="1"/>
    <col min="11" max="11" width="6.5703125" customWidth="1"/>
    <col min="12" max="12" width="5.85546875" customWidth="1"/>
    <col min="13" max="13" width="8.7109375" customWidth="1"/>
    <col min="14" max="14" width="6.42578125" customWidth="1"/>
    <col min="15" max="15" width="7.42578125" customWidth="1"/>
    <col min="16" max="16" width="5.28515625" customWidth="1"/>
    <col min="17" max="17" width="7.5703125" customWidth="1"/>
    <col min="18" max="18" width="5.140625" customWidth="1"/>
    <col min="19" max="19" width="7.5703125" customWidth="1"/>
    <col min="20" max="20" width="6" customWidth="1"/>
    <col min="21" max="21" width="8" customWidth="1"/>
    <col min="22" max="22" width="7.85546875" customWidth="1"/>
    <col min="23" max="23" width="6.42578125" customWidth="1"/>
    <col min="24" max="24" width="60.85546875" customWidth="1"/>
  </cols>
  <sheetData>
    <row r="1" spans="1:24" s="6" customFormat="1" x14ac:dyDescent="0.25">
      <c r="A1" s="1" t="s">
        <v>0</v>
      </c>
      <c r="B1" s="4" t="s">
        <v>621</v>
      </c>
      <c r="C1" s="5"/>
      <c r="D1" s="10" t="s">
        <v>634</v>
      </c>
      <c r="E1" s="11"/>
      <c r="F1" s="10" t="s">
        <v>640</v>
      </c>
      <c r="G1" s="10"/>
      <c r="H1" s="5"/>
      <c r="I1" s="10" t="s">
        <v>622</v>
      </c>
      <c r="J1" s="10"/>
      <c r="K1" s="10" t="s">
        <v>633</v>
      </c>
      <c r="L1" s="11"/>
      <c r="M1" s="10" t="s">
        <v>645</v>
      </c>
      <c r="N1" s="12"/>
      <c r="O1" s="10" t="s">
        <v>636</v>
      </c>
      <c r="P1" s="11"/>
      <c r="Q1" s="10" t="s">
        <v>637</v>
      </c>
      <c r="R1" s="12"/>
      <c r="S1" s="10" t="s">
        <v>647</v>
      </c>
      <c r="T1" s="10"/>
      <c r="U1" s="5"/>
      <c r="V1" s="10" t="s">
        <v>646</v>
      </c>
      <c r="W1" s="12"/>
      <c r="X1" s="4" t="s">
        <v>623</v>
      </c>
    </row>
    <row r="2" spans="1:24" x14ac:dyDescent="0.25">
      <c r="A2" t="s">
        <v>614</v>
      </c>
      <c r="B2" s="8">
        <v>17</v>
      </c>
      <c r="C2" s="8"/>
      <c r="D2" s="7"/>
      <c r="E2" s="7"/>
      <c r="F2" s="7"/>
      <c r="G2" s="7"/>
      <c r="H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>
        <f>B2</f>
        <v>17</v>
      </c>
      <c r="W2" s="7">
        <f>V2/B2</f>
        <v>1</v>
      </c>
      <c r="X2" t="s">
        <v>632</v>
      </c>
    </row>
    <row r="3" spans="1:24" x14ac:dyDescent="0.25">
      <c r="A3" t="s">
        <v>616</v>
      </c>
      <c r="B3" s="8">
        <v>3</v>
      </c>
      <c r="C3" s="8"/>
      <c r="D3" s="8"/>
      <c r="I3" s="8"/>
      <c r="K3" s="8"/>
      <c r="O3" s="8"/>
      <c r="Q3" s="8"/>
      <c r="V3" s="8">
        <v>3</v>
      </c>
      <c r="W3" s="7">
        <f>V3/B3</f>
        <v>1</v>
      </c>
      <c r="X3" t="s">
        <v>638</v>
      </c>
    </row>
    <row r="4" spans="1:24" x14ac:dyDescent="0.25">
      <c r="A4" t="s">
        <v>618</v>
      </c>
      <c r="B4" s="8">
        <v>177</v>
      </c>
      <c r="C4" s="8"/>
      <c r="D4" s="8"/>
      <c r="I4" s="8"/>
      <c r="K4" s="8"/>
      <c r="O4" s="8"/>
      <c r="Q4" s="8"/>
      <c r="R4" s="7"/>
      <c r="S4" s="7"/>
      <c r="T4" s="7"/>
      <c r="U4" s="7"/>
      <c r="V4" s="8">
        <v>177</v>
      </c>
      <c r="W4" s="7">
        <f>V4/B4</f>
        <v>1</v>
      </c>
      <c r="X4" t="s">
        <v>632</v>
      </c>
    </row>
    <row r="5" spans="1:24" x14ac:dyDescent="0.25">
      <c r="A5" t="s">
        <v>613</v>
      </c>
      <c r="B5" s="8">
        <v>5</v>
      </c>
      <c r="C5" s="8"/>
      <c r="D5" s="8">
        <v>1</v>
      </c>
      <c r="E5" s="7">
        <f>I5/B5</f>
        <v>0.2</v>
      </c>
      <c r="F5" s="7"/>
      <c r="G5" s="7"/>
      <c r="H5" s="7"/>
      <c r="I5" s="8">
        <v>1</v>
      </c>
      <c r="J5" s="7">
        <f>I5/B5</f>
        <v>0.2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>
        <f>B5-D5</f>
        <v>4</v>
      </c>
      <c r="W5" s="7">
        <f>V5/B5</f>
        <v>0.8</v>
      </c>
    </row>
    <row r="6" spans="1:24" x14ac:dyDescent="0.25">
      <c r="A6" t="s">
        <v>615</v>
      </c>
      <c r="B6" s="8">
        <v>28</v>
      </c>
      <c r="C6" s="8"/>
      <c r="D6" s="8">
        <v>2</v>
      </c>
      <c r="E6" s="7">
        <f>D6/B6</f>
        <v>7.1428571428571425E-2</v>
      </c>
      <c r="F6" s="9">
        <v>6</v>
      </c>
      <c r="G6" s="2">
        <f>F6/B6</f>
        <v>0.21428571428571427</v>
      </c>
      <c r="H6" s="2"/>
      <c r="J6" s="7"/>
      <c r="K6">
        <v>18</v>
      </c>
      <c r="L6" s="2">
        <f>K6/B6</f>
        <v>0.6428571428571429</v>
      </c>
      <c r="M6" s="2"/>
      <c r="N6" s="2"/>
      <c r="O6" s="8">
        <v>3</v>
      </c>
      <c r="P6" s="2">
        <f>O6/B6</f>
        <v>0.10714285714285714</v>
      </c>
      <c r="Q6" s="8">
        <v>3</v>
      </c>
      <c r="R6" s="2">
        <f>Q6/B6</f>
        <v>0.10714285714285714</v>
      </c>
      <c r="S6" s="2"/>
      <c r="T6" s="2"/>
      <c r="U6" s="2"/>
      <c r="V6" s="8">
        <f>B6-D6-(F6)</f>
        <v>20</v>
      </c>
      <c r="W6" s="7">
        <f>V6/B6</f>
        <v>0.7142857142857143</v>
      </c>
    </row>
    <row r="7" spans="1:24" x14ac:dyDescent="0.25">
      <c r="A7" t="s">
        <v>617</v>
      </c>
      <c r="B7" s="8">
        <v>183</v>
      </c>
      <c r="C7" s="8"/>
      <c r="D7" s="8">
        <f>FTT_F!E187</f>
        <v>3</v>
      </c>
      <c r="E7" s="7">
        <f>D7/B7</f>
        <v>1.6393442622950821E-2</v>
      </c>
      <c r="F7">
        <f>FTT_F!C187</f>
        <v>103</v>
      </c>
      <c r="G7" s="2">
        <f>F7/B7</f>
        <v>0.56284153005464477</v>
      </c>
      <c r="H7" s="2"/>
      <c r="I7" s="8">
        <f>FTT_F!D187</f>
        <v>1</v>
      </c>
      <c r="J7" s="7">
        <f>I7/B7</f>
        <v>5.4644808743169399E-3</v>
      </c>
      <c r="K7" s="8">
        <f>FTT_F!B187</f>
        <v>52</v>
      </c>
      <c r="L7" s="2">
        <f>K7/B7</f>
        <v>0.28415300546448086</v>
      </c>
      <c r="M7">
        <f>FTT_F!F187</f>
        <v>25</v>
      </c>
      <c r="N7" s="2">
        <f>M7/B7</f>
        <v>0.13661202185792351</v>
      </c>
      <c r="O7" s="8">
        <f>FTT_F!G187</f>
        <v>5</v>
      </c>
      <c r="P7" s="2">
        <f>O7/B7</f>
        <v>2.7322404371584699E-2</v>
      </c>
      <c r="Q7" s="8">
        <f>FTT_F!H187</f>
        <v>2</v>
      </c>
      <c r="R7" s="2">
        <f>Q7/B7</f>
        <v>1.092896174863388E-2</v>
      </c>
      <c r="S7" s="2"/>
      <c r="T7" s="2"/>
      <c r="U7" s="2"/>
      <c r="V7" s="8">
        <f>B7-D7-(F7-M7-O7)</f>
        <v>107</v>
      </c>
      <c r="W7" s="7">
        <f>V7/B7</f>
        <v>0.58469945355191255</v>
      </c>
    </row>
    <row r="8" spans="1:24" x14ac:dyDescent="0.25">
      <c r="A8" t="s">
        <v>619</v>
      </c>
      <c r="B8" s="8">
        <v>42</v>
      </c>
      <c r="C8" s="8"/>
      <c r="D8" s="8"/>
      <c r="E8" s="8"/>
      <c r="I8" s="8">
        <v>1</v>
      </c>
      <c r="J8" s="7">
        <f>I8/B8</f>
        <v>2.3809523809523808E-2</v>
      </c>
      <c r="K8" s="8">
        <v>42</v>
      </c>
      <c r="L8" s="2">
        <f>K8/B8</f>
        <v>1</v>
      </c>
      <c r="O8" s="8"/>
      <c r="Q8" s="8"/>
      <c r="R8" s="7"/>
      <c r="S8" s="7"/>
      <c r="T8" s="7"/>
      <c r="U8" s="7"/>
      <c r="V8" s="8">
        <f>B8</f>
        <v>42</v>
      </c>
      <c r="W8" s="7">
        <f>V8/B8</f>
        <v>1</v>
      </c>
      <c r="X8" t="s">
        <v>655</v>
      </c>
    </row>
    <row r="9" spans="1:24" x14ac:dyDescent="0.25">
      <c r="A9" t="s">
        <v>620</v>
      </c>
      <c r="B9" s="8">
        <v>157</v>
      </c>
      <c r="C9" s="8"/>
      <c r="D9" s="8">
        <f>TTT_F!E161</f>
        <v>4</v>
      </c>
      <c r="E9" s="7">
        <f>D9/B9</f>
        <v>2.5477707006369428E-2</v>
      </c>
      <c r="F9">
        <f>TTT_F!D161</f>
        <v>47</v>
      </c>
      <c r="G9" s="2">
        <f>F9/B9</f>
        <v>0.29936305732484075</v>
      </c>
      <c r="H9" s="2"/>
      <c r="I9" s="8">
        <f>TTT_F!C161</f>
        <v>40</v>
      </c>
      <c r="J9" s="7">
        <f>I9/B9</f>
        <v>0.25477707006369427</v>
      </c>
      <c r="K9" s="8">
        <f>TTT_F!B161</f>
        <v>28</v>
      </c>
      <c r="L9" s="2">
        <f>K9/B9</f>
        <v>0.17834394904458598</v>
      </c>
      <c r="O9" s="8"/>
      <c r="Q9" s="8">
        <f>TTT_F!H161</f>
        <v>15</v>
      </c>
      <c r="R9" s="2">
        <f>Q9/B9</f>
        <v>9.5541401273885357E-2</v>
      </c>
      <c r="S9">
        <f>TTT_F!F161</f>
        <v>21</v>
      </c>
      <c r="T9" s="2">
        <f>S9/B9</f>
        <v>0.13375796178343949</v>
      </c>
      <c r="U9" s="2"/>
      <c r="V9" s="8">
        <f>B9-D9-F9</f>
        <v>106</v>
      </c>
      <c r="W9" s="7">
        <f>V9/B9</f>
        <v>0.67515923566878977</v>
      </c>
    </row>
    <row r="10" spans="1:24" x14ac:dyDescent="0.25">
      <c r="D10" s="8"/>
      <c r="J10" s="7"/>
    </row>
    <row r="11" spans="1:24" x14ac:dyDescent="0.25">
      <c r="B11" s="8">
        <f>SUM(B5:B9)</f>
        <v>415</v>
      </c>
      <c r="C11" s="8"/>
      <c r="D11" s="8">
        <f>SUM(D5:D9)</f>
        <v>10</v>
      </c>
      <c r="E11" s="7">
        <f>D11/B11</f>
        <v>2.4096385542168676E-2</v>
      </c>
      <c r="F11" s="8">
        <f>SUM(F5:F9)</f>
        <v>156</v>
      </c>
      <c r="G11" s="2">
        <f>F11/B11</f>
        <v>0.37590361445783133</v>
      </c>
      <c r="H11" s="2"/>
      <c r="I11" s="8"/>
      <c r="J11" s="7"/>
      <c r="K11" s="8"/>
      <c r="L11" s="2"/>
      <c r="Q11" s="8">
        <f>SUM(Q5:Q9)</f>
        <v>20</v>
      </c>
      <c r="R11" s="2">
        <f>Q11/B11</f>
        <v>4.8192771084337352E-2</v>
      </c>
      <c r="S11" s="8"/>
      <c r="V11" s="8">
        <f>SUM(V5:V9)</f>
        <v>279</v>
      </c>
      <c r="W11" s="7">
        <f>V11/B11</f>
        <v>0.67228915662650601</v>
      </c>
    </row>
  </sheetData>
  <mergeCells count="9">
    <mergeCell ref="V1:W1"/>
    <mergeCell ref="F1:G1"/>
    <mergeCell ref="M1:N1"/>
    <mergeCell ref="S1:T1"/>
    <mergeCell ref="I1:J1"/>
    <mergeCell ref="K1:L1"/>
    <mergeCell ref="D1:E1"/>
    <mergeCell ref="O1:P1"/>
    <mergeCell ref="Q1:R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1" sqref="B1:B1048576"/>
    </sheetView>
  </sheetViews>
  <sheetFormatPr defaultRowHeight="15" x14ac:dyDescent="0.25"/>
  <cols>
    <col min="1" max="1" width="22.5703125" bestFit="1" customWidth="1"/>
    <col min="2" max="2" width="15.42578125" style="3" customWidth="1"/>
  </cols>
  <sheetData>
    <row r="1" spans="1:2" x14ac:dyDescent="0.25">
      <c r="A1" s="1" t="s">
        <v>0</v>
      </c>
      <c r="B1" s="4" t="s">
        <v>630</v>
      </c>
    </row>
    <row r="2" spans="1:2" x14ac:dyDescent="0.25">
      <c r="A2" t="s">
        <v>6</v>
      </c>
      <c r="B2" s="3" t="s">
        <v>631</v>
      </c>
    </row>
    <row r="3" spans="1:2" x14ac:dyDescent="0.25">
      <c r="A3" t="s">
        <v>7</v>
      </c>
      <c r="B3" s="3" t="s">
        <v>631</v>
      </c>
    </row>
    <row r="4" spans="1:2" x14ac:dyDescent="0.25">
      <c r="A4" t="s">
        <v>8</v>
      </c>
      <c r="B4" s="3" t="s">
        <v>631</v>
      </c>
    </row>
    <row r="5" spans="1:2" x14ac:dyDescent="0.25">
      <c r="A5" t="s">
        <v>9</v>
      </c>
      <c r="B5" s="3" t="s">
        <v>631</v>
      </c>
    </row>
    <row r="6" spans="1:2" x14ac:dyDescent="0.25">
      <c r="A6" t="s">
        <v>10</v>
      </c>
      <c r="B6" s="3" t="s">
        <v>631</v>
      </c>
    </row>
    <row r="7" spans="1:2" x14ac:dyDescent="0.25">
      <c r="A7" t="s">
        <v>11</v>
      </c>
      <c r="B7" s="3" t="s">
        <v>631</v>
      </c>
    </row>
    <row r="8" spans="1:2" x14ac:dyDescent="0.25">
      <c r="A8" t="s">
        <v>12</v>
      </c>
      <c r="B8" s="3" t="s">
        <v>631</v>
      </c>
    </row>
    <row r="9" spans="1:2" x14ac:dyDescent="0.25">
      <c r="A9" t="s">
        <v>13</v>
      </c>
      <c r="B9" s="3" t="s">
        <v>631</v>
      </c>
    </row>
    <row r="10" spans="1:2" x14ac:dyDescent="0.25">
      <c r="A10" t="s">
        <v>14</v>
      </c>
      <c r="B10" s="3" t="s">
        <v>631</v>
      </c>
    </row>
    <row r="11" spans="1:2" x14ac:dyDescent="0.25">
      <c r="A11" t="s">
        <v>15</v>
      </c>
      <c r="B11" s="3" t="s">
        <v>631</v>
      </c>
    </row>
    <row r="12" spans="1:2" x14ac:dyDescent="0.25">
      <c r="A12" t="s">
        <v>16</v>
      </c>
      <c r="B12" s="3" t="s">
        <v>631</v>
      </c>
    </row>
    <row r="13" spans="1:2" x14ac:dyDescent="0.25">
      <c r="A13" t="s">
        <v>17</v>
      </c>
      <c r="B13" s="3" t="s">
        <v>631</v>
      </c>
    </row>
    <row r="14" spans="1:2" x14ac:dyDescent="0.25">
      <c r="A14" t="s">
        <v>18</v>
      </c>
      <c r="B14" s="3" t="s">
        <v>631</v>
      </c>
    </row>
    <row r="15" spans="1:2" x14ac:dyDescent="0.25">
      <c r="A15" t="s">
        <v>19</v>
      </c>
      <c r="B15" s="3" t="s">
        <v>631</v>
      </c>
    </row>
    <row r="16" spans="1:2" x14ac:dyDescent="0.25">
      <c r="A16" t="s">
        <v>20</v>
      </c>
      <c r="B16" s="3" t="s">
        <v>631</v>
      </c>
    </row>
    <row r="17" spans="1:2" x14ac:dyDescent="0.25">
      <c r="A17" t="s">
        <v>21</v>
      </c>
      <c r="B17" s="3" t="s">
        <v>631</v>
      </c>
    </row>
    <row r="18" spans="1:2" x14ac:dyDescent="0.25">
      <c r="A18" t="s">
        <v>22</v>
      </c>
      <c r="B18" s="3" t="s">
        <v>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cols>
    <col min="1" max="1" width="23.140625" customWidth="1"/>
  </cols>
  <sheetData>
    <row r="1" spans="1:1" x14ac:dyDescent="0.25">
      <c r="A1" s="1" t="s">
        <v>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workbookViewId="0"/>
  </sheetViews>
  <sheetFormatPr defaultRowHeight="15" x14ac:dyDescent="0.25"/>
  <cols>
    <col min="1" max="1" width="24" customWidth="1"/>
  </cols>
  <sheetData>
    <row r="1" spans="1:1" x14ac:dyDescent="0.25">
      <c r="A1" s="1" t="s">
        <v>0</v>
      </c>
    </row>
    <row r="2" spans="1:1" x14ac:dyDescent="0.25">
      <c r="A2" t="s">
        <v>237</v>
      </c>
    </row>
    <row r="3" spans="1:1" x14ac:dyDescent="0.25">
      <c r="A3" t="s">
        <v>238</v>
      </c>
    </row>
    <row r="4" spans="1:1" x14ac:dyDescent="0.25">
      <c r="A4" t="s">
        <v>239</v>
      </c>
    </row>
    <row r="5" spans="1:1" x14ac:dyDescent="0.25">
      <c r="A5" t="s">
        <v>240</v>
      </c>
    </row>
    <row r="6" spans="1:1" x14ac:dyDescent="0.25">
      <c r="A6" t="s">
        <v>241</v>
      </c>
    </row>
    <row r="7" spans="1:1" x14ac:dyDescent="0.25">
      <c r="A7" t="s">
        <v>242</v>
      </c>
    </row>
    <row r="8" spans="1:1" x14ac:dyDescent="0.25">
      <c r="A8" t="s">
        <v>243</v>
      </c>
    </row>
    <row r="9" spans="1:1" x14ac:dyDescent="0.25">
      <c r="A9" t="s">
        <v>244</v>
      </c>
    </row>
    <row r="10" spans="1:1" x14ac:dyDescent="0.25">
      <c r="A10" t="s">
        <v>245</v>
      </c>
    </row>
    <row r="11" spans="1:1" x14ac:dyDescent="0.25">
      <c r="A11" t="s">
        <v>246</v>
      </c>
    </row>
    <row r="12" spans="1:1" x14ac:dyDescent="0.25">
      <c r="A12" t="s">
        <v>247</v>
      </c>
    </row>
    <row r="13" spans="1:1" x14ac:dyDescent="0.25">
      <c r="A13" t="s">
        <v>248</v>
      </c>
    </row>
    <row r="14" spans="1:1" x14ac:dyDescent="0.25">
      <c r="A14" t="s">
        <v>249</v>
      </c>
    </row>
    <row r="15" spans="1:1" x14ac:dyDescent="0.25">
      <c r="A15" t="s">
        <v>250</v>
      </c>
    </row>
    <row r="16" spans="1:1" x14ac:dyDescent="0.25">
      <c r="A16" t="s">
        <v>251</v>
      </c>
    </row>
    <row r="17" spans="1:1" x14ac:dyDescent="0.25">
      <c r="A17" t="s">
        <v>252</v>
      </c>
    </row>
    <row r="18" spans="1:1" x14ac:dyDescent="0.25">
      <c r="A18" t="s">
        <v>253</v>
      </c>
    </row>
    <row r="19" spans="1:1" x14ac:dyDescent="0.25">
      <c r="A19" t="s">
        <v>254</v>
      </c>
    </row>
    <row r="20" spans="1:1" x14ac:dyDescent="0.25">
      <c r="A20" t="s">
        <v>255</v>
      </c>
    </row>
    <row r="21" spans="1:1" x14ac:dyDescent="0.25">
      <c r="A21" t="s">
        <v>256</v>
      </c>
    </row>
    <row r="22" spans="1:1" x14ac:dyDescent="0.25">
      <c r="A22" t="s">
        <v>257</v>
      </c>
    </row>
    <row r="23" spans="1:1" x14ac:dyDescent="0.25">
      <c r="A23" t="s">
        <v>258</v>
      </c>
    </row>
    <row r="24" spans="1:1" x14ac:dyDescent="0.25">
      <c r="A24" t="s">
        <v>259</v>
      </c>
    </row>
    <row r="25" spans="1:1" x14ac:dyDescent="0.25">
      <c r="A25" t="s">
        <v>260</v>
      </c>
    </row>
    <row r="26" spans="1:1" x14ac:dyDescent="0.25">
      <c r="A26" t="s">
        <v>261</v>
      </c>
    </row>
    <row r="27" spans="1:1" x14ac:dyDescent="0.25">
      <c r="A27" t="s">
        <v>262</v>
      </c>
    </row>
    <row r="28" spans="1:1" x14ac:dyDescent="0.25">
      <c r="A28" t="s">
        <v>263</v>
      </c>
    </row>
    <row r="29" spans="1:1" x14ac:dyDescent="0.25">
      <c r="A29" t="s">
        <v>264</v>
      </c>
    </row>
    <row r="30" spans="1:1" x14ac:dyDescent="0.25">
      <c r="A30" t="s">
        <v>265</v>
      </c>
    </row>
    <row r="31" spans="1:1" x14ac:dyDescent="0.25">
      <c r="A31" t="s">
        <v>266</v>
      </c>
    </row>
    <row r="32" spans="1:1" x14ac:dyDescent="0.25">
      <c r="A32" t="s">
        <v>267</v>
      </c>
    </row>
    <row r="33" spans="1:1" x14ac:dyDescent="0.25">
      <c r="A33" t="s">
        <v>268</v>
      </c>
    </row>
    <row r="34" spans="1:1" x14ac:dyDescent="0.25">
      <c r="A34" t="s">
        <v>269</v>
      </c>
    </row>
    <row r="35" spans="1:1" x14ac:dyDescent="0.25">
      <c r="A35" t="s">
        <v>270</v>
      </c>
    </row>
    <row r="36" spans="1:1" x14ac:dyDescent="0.25">
      <c r="A36" t="s">
        <v>271</v>
      </c>
    </row>
    <row r="37" spans="1:1" x14ac:dyDescent="0.25">
      <c r="A37" t="s">
        <v>272</v>
      </c>
    </row>
    <row r="38" spans="1:1" x14ac:dyDescent="0.25">
      <c r="A38" t="s">
        <v>273</v>
      </c>
    </row>
    <row r="39" spans="1:1" x14ac:dyDescent="0.25">
      <c r="A39" t="s">
        <v>274</v>
      </c>
    </row>
    <row r="40" spans="1:1" x14ac:dyDescent="0.25">
      <c r="A40" t="s">
        <v>275</v>
      </c>
    </row>
    <row r="41" spans="1:1" x14ac:dyDescent="0.25">
      <c r="A41" t="s">
        <v>276</v>
      </c>
    </row>
    <row r="42" spans="1:1" x14ac:dyDescent="0.25">
      <c r="A42" t="s">
        <v>277</v>
      </c>
    </row>
    <row r="43" spans="1:1" x14ac:dyDescent="0.25">
      <c r="A43" t="s">
        <v>278</v>
      </c>
    </row>
    <row r="44" spans="1:1" x14ac:dyDescent="0.25">
      <c r="A44" t="s">
        <v>279</v>
      </c>
    </row>
    <row r="45" spans="1:1" x14ac:dyDescent="0.25">
      <c r="A45" t="s">
        <v>280</v>
      </c>
    </row>
    <row r="46" spans="1:1" x14ac:dyDescent="0.25">
      <c r="A46" t="s">
        <v>281</v>
      </c>
    </row>
    <row r="47" spans="1:1" x14ac:dyDescent="0.25">
      <c r="A47" t="s">
        <v>282</v>
      </c>
    </row>
    <row r="48" spans="1:1" x14ac:dyDescent="0.25">
      <c r="A48" t="s">
        <v>283</v>
      </c>
    </row>
    <row r="49" spans="1:1" x14ac:dyDescent="0.25">
      <c r="A49" t="s">
        <v>284</v>
      </c>
    </row>
    <row r="50" spans="1:1" x14ac:dyDescent="0.25">
      <c r="A50" t="s">
        <v>285</v>
      </c>
    </row>
    <row r="51" spans="1:1" x14ac:dyDescent="0.25">
      <c r="A51" t="s">
        <v>286</v>
      </c>
    </row>
    <row r="52" spans="1:1" x14ac:dyDescent="0.25">
      <c r="A52" t="s">
        <v>287</v>
      </c>
    </row>
    <row r="53" spans="1:1" x14ac:dyDescent="0.25">
      <c r="A53" t="s">
        <v>288</v>
      </c>
    </row>
    <row r="54" spans="1:1" x14ac:dyDescent="0.25">
      <c r="A54" t="s">
        <v>289</v>
      </c>
    </row>
    <row r="55" spans="1:1" x14ac:dyDescent="0.25">
      <c r="A55" t="s">
        <v>290</v>
      </c>
    </row>
    <row r="56" spans="1:1" x14ac:dyDescent="0.25">
      <c r="A56" t="s">
        <v>291</v>
      </c>
    </row>
    <row r="57" spans="1:1" x14ac:dyDescent="0.25">
      <c r="A57" t="s">
        <v>292</v>
      </c>
    </row>
    <row r="58" spans="1:1" x14ac:dyDescent="0.25">
      <c r="A58" t="s">
        <v>293</v>
      </c>
    </row>
    <row r="59" spans="1:1" x14ac:dyDescent="0.25">
      <c r="A59" t="s">
        <v>294</v>
      </c>
    </row>
    <row r="60" spans="1:1" x14ac:dyDescent="0.25">
      <c r="A60" t="s">
        <v>295</v>
      </c>
    </row>
    <row r="61" spans="1:1" x14ac:dyDescent="0.25">
      <c r="A61" t="s">
        <v>296</v>
      </c>
    </row>
    <row r="62" spans="1:1" x14ac:dyDescent="0.25">
      <c r="A62" t="s">
        <v>297</v>
      </c>
    </row>
    <row r="63" spans="1:1" x14ac:dyDescent="0.25">
      <c r="A63" t="s">
        <v>298</v>
      </c>
    </row>
    <row r="64" spans="1:1" x14ac:dyDescent="0.25">
      <c r="A64" t="s">
        <v>299</v>
      </c>
    </row>
    <row r="65" spans="1:1" x14ac:dyDescent="0.25">
      <c r="A65" t="s">
        <v>300</v>
      </c>
    </row>
    <row r="66" spans="1:1" x14ac:dyDescent="0.25">
      <c r="A66" t="s">
        <v>301</v>
      </c>
    </row>
    <row r="67" spans="1:1" x14ac:dyDescent="0.25">
      <c r="A67" t="s">
        <v>302</v>
      </c>
    </row>
    <row r="68" spans="1:1" x14ac:dyDescent="0.25">
      <c r="A68" t="s">
        <v>303</v>
      </c>
    </row>
    <row r="69" spans="1:1" x14ac:dyDescent="0.25">
      <c r="A69" t="s">
        <v>304</v>
      </c>
    </row>
    <row r="70" spans="1:1" x14ac:dyDescent="0.25">
      <c r="A70" t="s">
        <v>305</v>
      </c>
    </row>
    <row r="71" spans="1:1" x14ac:dyDescent="0.25">
      <c r="A71" t="s">
        <v>306</v>
      </c>
    </row>
    <row r="72" spans="1:1" x14ac:dyDescent="0.25">
      <c r="A72" t="s">
        <v>307</v>
      </c>
    </row>
    <row r="73" spans="1:1" x14ac:dyDescent="0.25">
      <c r="A73" t="s">
        <v>308</v>
      </c>
    </row>
    <row r="74" spans="1:1" x14ac:dyDescent="0.25">
      <c r="A74" t="s">
        <v>309</v>
      </c>
    </row>
    <row r="75" spans="1:1" x14ac:dyDescent="0.25">
      <c r="A75" t="s">
        <v>310</v>
      </c>
    </row>
    <row r="76" spans="1:1" x14ac:dyDescent="0.25">
      <c r="A76" t="s">
        <v>311</v>
      </c>
    </row>
    <row r="77" spans="1:1" x14ac:dyDescent="0.25">
      <c r="A77" t="s">
        <v>312</v>
      </c>
    </row>
    <row r="78" spans="1:1" x14ac:dyDescent="0.25">
      <c r="A78" t="s">
        <v>313</v>
      </c>
    </row>
    <row r="79" spans="1:1" x14ac:dyDescent="0.25">
      <c r="A79" t="s">
        <v>314</v>
      </c>
    </row>
    <row r="80" spans="1:1" x14ac:dyDescent="0.25">
      <c r="A80" t="s">
        <v>315</v>
      </c>
    </row>
    <row r="81" spans="1:1" x14ac:dyDescent="0.25">
      <c r="A81" t="s">
        <v>316</v>
      </c>
    </row>
    <row r="82" spans="1:1" x14ac:dyDescent="0.25">
      <c r="A82" t="s">
        <v>317</v>
      </c>
    </row>
    <row r="83" spans="1:1" x14ac:dyDescent="0.25">
      <c r="A83" t="s">
        <v>318</v>
      </c>
    </row>
    <row r="84" spans="1:1" x14ac:dyDescent="0.25">
      <c r="A84" t="s">
        <v>319</v>
      </c>
    </row>
    <row r="85" spans="1:1" x14ac:dyDescent="0.25">
      <c r="A85" t="s">
        <v>320</v>
      </c>
    </row>
    <row r="86" spans="1:1" x14ac:dyDescent="0.25">
      <c r="A86" t="s">
        <v>321</v>
      </c>
    </row>
    <row r="87" spans="1:1" x14ac:dyDescent="0.25">
      <c r="A87" t="s">
        <v>322</v>
      </c>
    </row>
    <row r="88" spans="1:1" x14ac:dyDescent="0.25">
      <c r="A88" t="s">
        <v>323</v>
      </c>
    </row>
    <row r="89" spans="1:1" x14ac:dyDescent="0.25">
      <c r="A89" t="s">
        <v>324</v>
      </c>
    </row>
    <row r="90" spans="1:1" x14ac:dyDescent="0.25">
      <c r="A90" t="s">
        <v>325</v>
      </c>
    </row>
    <row r="91" spans="1:1" x14ac:dyDescent="0.25">
      <c r="A91" t="s">
        <v>326</v>
      </c>
    </row>
    <row r="92" spans="1:1" x14ac:dyDescent="0.25">
      <c r="A92" t="s">
        <v>327</v>
      </c>
    </row>
    <row r="93" spans="1:1" x14ac:dyDescent="0.25">
      <c r="A93" t="s">
        <v>328</v>
      </c>
    </row>
    <row r="94" spans="1:1" x14ac:dyDescent="0.25">
      <c r="A94" t="s">
        <v>329</v>
      </c>
    </row>
    <row r="95" spans="1:1" x14ac:dyDescent="0.25">
      <c r="A95" t="s">
        <v>330</v>
      </c>
    </row>
    <row r="96" spans="1:1" x14ac:dyDescent="0.25">
      <c r="A96" t="s">
        <v>331</v>
      </c>
    </row>
    <row r="97" spans="1:1" x14ac:dyDescent="0.25">
      <c r="A97" t="s">
        <v>332</v>
      </c>
    </row>
    <row r="98" spans="1:1" x14ac:dyDescent="0.25">
      <c r="A98" t="s">
        <v>333</v>
      </c>
    </row>
    <row r="99" spans="1:1" x14ac:dyDescent="0.25">
      <c r="A99" t="s">
        <v>334</v>
      </c>
    </row>
    <row r="100" spans="1:1" x14ac:dyDescent="0.25">
      <c r="A100" t="s">
        <v>335</v>
      </c>
    </row>
    <row r="101" spans="1:1" x14ac:dyDescent="0.25">
      <c r="A101" t="s">
        <v>336</v>
      </c>
    </row>
    <row r="102" spans="1:1" x14ac:dyDescent="0.25">
      <c r="A102" t="s">
        <v>337</v>
      </c>
    </row>
    <row r="103" spans="1:1" x14ac:dyDescent="0.25">
      <c r="A103" t="s">
        <v>338</v>
      </c>
    </row>
    <row r="104" spans="1:1" x14ac:dyDescent="0.25">
      <c r="A104" t="s">
        <v>339</v>
      </c>
    </row>
    <row r="105" spans="1:1" x14ac:dyDescent="0.25">
      <c r="A105" t="s">
        <v>340</v>
      </c>
    </row>
    <row r="106" spans="1:1" x14ac:dyDescent="0.25">
      <c r="A106" t="s">
        <v>341</v>
      </c>
    </row>
    <row r="107" spans="1:1" x14ac:dyDescent="0.25">
      <c r="A107" t="s">
        <v>342</v>
      </c>
    </row>
    <row r="108" spans="1:1" x14ac:dyDescent="0.25">
      <c r="A108" t="s">
        <v>343</v>
      </c>
    </row>
    <row r="109" spans="1:1" x14ac:dyDescent="0.25">
      <c r="A109" t="s">
        <v>344</v>
      </c>
    </row>
    <row r="110" spans="1:1" x14ac:dyDescent="0.25">
      <c r="A110" t="s">
        <v>345</v>
      </c>
    </row>
    <row r="111" spans="1:1" x14ac:dyDescent="0.25">
      <c r="A111" t="s">
        <v>346</v>
      </c>
    </row>
    <row r="112" spans="1:1" x14ac:dyDescent="0.25">
      <c r="A112" t="s">
        <v>347</v>
      </c>
    </row>
    <row r="113" spans="1:1" x14ac:dyDescent="0.25">
      <c r="A113" t="s">
        <v>348</v>
      </c>
    </row>
    <row r="114" spans="1:1" x14ac:dyDescent="0.25">
      <c r="A114" t="s">
        <v>349</v>
      </c>
    </row>
    <row r="115" spans="1:1" x14ac:dyDescent="0.25">
      <c r="A115" t="s">
        <v>350</v>
      </c>
    </row>
    <row r="116" spans="1:1" x14ac:dyDescent="0.25">
      <c r="A116" t="s">
        <v>351</v>
      </c>
    </row>
    <row r="117" spans="1:1" x14ac:dyDescent="0.25">
      <c r="A117" t="s">
        <v>352</v>
      </c>
    </row>
    <row r="118" spans="1:1" x14ac:dyDescent="0.25">
      <c r="A118" t="s">
        <v>353</v>
      </c>
    </row>
    <row r="119" spans="1:1" x14ac:dyDescent="0.25">
      <c r="A119" t="s">
        <v>354</v>
      </c>
    </row>
    <row r="120" spans="1:1" x14ac:dyDescent="0.25">
      <c r="A120" t="s">
        <v>355</v>
      </c>
    </row>
    <row r="121" spans="1:1" x14ac:dyDescent="0.25">
      <c r="A121" t="s">
        <v>356</v>
      </c>
    </row>
    <row r="122" spans="1:1" x14ac:dyDescent="0.25">
      <c r="A122" t="s">
        <v>357</v>
      </c>
    </row>
    <row r="123" spans="1:1" x14ac:dyDescent="0.25">
      <c r="A123" t="s">
        <v>358</v>
      </c>
    </row>
    <row r="124" spans="1:1" x14ac:dyDescent="0.25">
      <c r="A124" t="s">
        <v>359</v>
      </c>
    </row>
    <row r="125" spans="1:1" x14ac:dyDescent="0.25">
      <c r="A125" t="s">
        <v>360</v>
      </c>
    </row>
    <row r="126" spans="1:1" x14ac:dyDescent="0.25">
      <c r="A126" t="s">
        <v>361</v>
      </c>
    </row>
    <row r="127" spans="1:1" x14ac:dyDescent="0.25">
      <c r="A127" t="s">
        <v>362</v>
      </c>
    </row>
    <row r="128" spans="1:1" x14ac:dyDescent="0.25">
      <c r="A128" t="s">
        <v>363</v>
      </c>
    </row>
    <row r="129" spans="1:1" x14ac:dyDescent="0.25">
      <c r="A129" t="s">
        <v>364</v>
      </c>
    </row>
    <row r="130" spans="1:1" x14ac:dyDescent="0.25">
      <c r="A130" t="s">
        <v>365</v>
      </c>
    </row>
    <row r="131" spans="1:1" x14ac:dyDescent="0.25">
      <c r="A131" t="s">
        <v>366</v>
      </c>
    </row>
    <row r="132" spans="1:1" x14ac:dyDescent="0.25">
      <c r="A132" t="s">
        <v>367</v>
      </c>
    </row>
    <row r="133" spans="1:1" x14ac:dyDescent="0.25">
      <c r="A133" t="s">
        <v>368</v>
      </c>
    </row>
    <row r="134" spans="1:1" x14ac:dyDescent="0.25">
      <c r="A134" t="s">
        <v>369</v>
      </c>
    </row>
    <row r="135" spans="1:1" x14ac:dyDescent="0.25">
      <c r="A135" t="s">
        <v>370</v>
      </c>
    </row>
    <row r="136" spans="1:1" x14ac:dyDescent="0.25">
      <c r="A136" t="s">
        <v>371</v>
      </c>
    </row>
    <row r="137" spans="1:1" x14ac:dyDescent="0.25">
      <c r="A137" t="s">
        <v>372</v>
      </c>
    </row>
    <row r="138" spans="1:1" x14ac:dyDescent="0.25">
      <c r="A138" t="s">
        <v>373</v>
      </c>
    </row>
    <row r="139" spans="1:1" x14ac:dyDescent="0.25">
      <c r="A139" t="s">
        <v>374</v>
      </c>
    </row>
    <row r="140" spans="1:1" x14ac:dyDescent="0.25">
      <c r="A140" t="s">
        <v>375</v>
      </c>
    </row>
    <row r="141" spans="1:1" x14ac:dyDescent="0.25">
      <c r="A141" t="s">
        <v>376</v>
      </c>
    </row>
    <row r="142" spans="1:1" x14ac:dyDescent="0.25">
      <c r="A142" t="s">
        <v>377</v>
      </c>
    </row>
    <row r="143" spans="1:1" x14ac:dyDescent="0.25">
      <c r="A143" t="s">
        <v>378</v>
      </c>
    </row>
    <row r="144" spans="1:1" x14ac:dyDescent="0.25">
      <c r="A144" t="s">
        <v>379</v>
      </c>
    </row>
    <row r="145" spans="1:1" x14ac:dyDescent="0.25">
      <c r="A145" t="s">
        <v>380</v>
      </c>
    </row>
    <row r="146" spans="1:1" x14ac:dyDescent="0.25">
      <c r="A146" t="s">
        <v>381</v>
      </c>
    </row>
    <row r="147" spans="1:1" x14ac:dyDescent="0.25">
      <c r="A147" t="s">
        <v>382</v>
      </c>
    </row>
    <row r="148" spans="1:1" x14ac:dyDescent="0.25">
      <c r="A148" t="s">
        <v>383</v>
      </c>
    </row>
    <row r="149" spans="1:1" x14ac:dyDescent="0.25">
      <c r="A149" t="s">
        <v>384</v>
      </c>
    </row>
    <row r="150" spans="1:1" x14ac:dyDescent="0.25">
      <c r="A150" t="s">
        <v>385</v>
      </c>
    </row>
    <row r="151" spans="1:1" x14ac:dyDescent="0.25">
      <c r="A151" t="s">
        <v>386</v>
      </c>
    </row>
    <row r="152" spans="1:1" x14ac:dyDescent="0.25">
      <c r="A152" t="s">
        <v>387</v>
      </c>
    </row>
    <row r="153" spans="1:1" x14ac:dyDescent="0.25">
      <c r="A153" t="s">
        <v>388</v>
      </c>
    </row>
    <row r="154" spans="1:1" x14ac:dyDescent="0.25">
      <c r="A154" t="s">
        <v>389</v>
      </c>
    </row>
    <row r="155" spans="1:1" x14ac:dyDescent="0.25">
      <c r="A155" t="s">
        <v>390</v>
      </c>
    </row>
    <row r="156" spans="1:1" x14ac:dyDescent="0.25">
      <c r="A156" t="s">
        <v>391</v>
      </c>
    </row>
    <row r="157" spans="1:1" x14ac:dyDescent="0.25">
      <c r="A157" t="s">
        <v>392</v>
      </c>
    </row>
    <row r="158" spans="1:1" x14ac:dyDescent="0.25">
      <c r="A158" t="s">
        <v>393</v>
      </c>
    </row>
    <row r="159" spans="1:1" x14ac:dyDescent="0.25">
      <c r="A159" t="s">
        <v>394</v>
      </c>
    </row>
    <row r="160" spans="1:1" x14ac:dyDescent="0.25">
      <c r="A160" t="s">
        <v>395</v>
      </c>
    </row>
    <row r="161" spans="1:1" x14ac:dyDescent="0.25">
      <c r="A161" t="s">
        <v>396</v>
      </c>
    </row>
    <row r="162" spans="1:1" x14ac:dyDescent="0.25">
      <c r="A162" t="s">
        <v>397</v>
      </c>
    </row>
    <row r="163" spans="1:1" x14ac:dyDescent="0.25">
      <c r="A163" t="s">
        <v>398</v>
      </c>
    </row>
    <row r="164" spans="1:1" x14ac:dyDescent="0.25">
      <c r="A164" t="s">
        <v>399</v>
      </c>
    </row>
    <row r="165" spans="1:1" x14ac:dyDescent="0.25">
      <c r="A165" t="s">
        <v>400</v>
      </c>
    </row>
    <row r="166" spans="1:1" x14ac:dyDescent="0.25">
      <c r="A166" t="s">
        <v>401</v>
      </c>
    </row>
    <row r="167" spans="1:1" x14ac:dyDescent="0.25">
      <c r="A167" t="s">
        <v>402</v>
      </c>
    </row>
    <row r="168" spans="1:1" x14ac:dyDescent="0.25">
      <c r="A168" t="s">
        <v>403</v>
      </c>
    </row>
    <row r="169" spans="1:1" x14ac:dyDescent="0.25">
      <c r="A169" t="s">
        <v>404</v>
      </c>
    </row>
    <row r="170" spans="1:1" x14ac:dyDescent="0.25">
      <c r="A170" t="s">
        <v>405</v>
      </c>
    </row>
    <row r="171" spans="1:1" x14ac:dyDescent="0.25">
      <c r="A171" t="s">
        <v>406</v>
      </c>
    </row>
    <row r="172" spans="1:1" x14ac:dyDescent="0.25">
      <c r="A172" t="s">
        <v>407</v>
      </c>
    </row>
    <row r="173" spans="1:1" x14ac:dyDescent="0.25">
      <c r="A173" t="s">
        <v>408</v>
      </c>
    </row>
    <row r="174" spans="1:1" x14ac:dyDescent="0.25">
      <c r="A174" t="s">
        <v>409</v>
      </c>
    </row>
    <row r="175" spans="1:1" x14ac:dyDescent="0.25">
      <c r="A175" t="s">
        <v>410</v>
      </c>
    </row>
    <row r="176" spans="1:1" x14ac:dyDescent="0.25">
      <c r="A176" t="s">
        <v>411</v>
      </c>
    </row>
    <row r="177" spans="1:1" x14ac:dyDescent="0.25">
      <c r="A177" t="s">
        <v>412</v>
      </c>
    </row>
    <row r="178" spans="1:1" x14ac:dyDescent="0.25">
      <c r="A178" t="s">
        <v>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RowHeight="15" x14ac:dyDescent="0.25"/>
  <cols>
    <col min="1" max="1" width="21.5703125" bestFit="1" customWidth="1"/>
    <col min="2" max="2" width="16.85546875" customWidth="1"/>
    <col min="3" max="3" width="17" customWidth="1"/>
  </cols>
  <sheetData>
    <row r="1" spans="1:3" x14ac:dyDescent="0.25">
      <c r="A1" s="1" t="s">
        <v>0</v>
      </c>
      <c r="B1" s="4" t="s">
        <v>623</v>
      </c>
      <c r="C1" s="4" t="s">
        <v>629</v>
      </c>
    </row>
    <row r="2" spans="1:3" x14ac:dyDescent="0.25">
      <c r="A2" t="s">
        <v>1</v>
      </c>
      <c r="B2" t="s">
        <v>624</v>
      </c>
    </row>
    <row r="3" spans="1:3" x14ac:dyDescent="0.25">
      <c r="A3" t="s">
        <v>2</v>
      </c>
      <c r="B3" t="s">
        <v>624</v>
      </c>
    </row>
    <row r="4" spans="1:3" x14ac:dyDescent="0.25">
      <c r="A4" t="s">
        <v>3</v>
      </c>
      <c r="B4" t="s">
        <v>625</v>
      </c>
    </row>
    <row r="5" spans="1:3" x14ac:dyDescent="0.25">
      <c r="A5" t="s">
        <v>4</v>
      </c>
      <c r="B5" t="s">
        <v>627</v>
      </c>
      <c r="C5" t="s">
        <v>626</v>
      </c>
    </row>
    <row r="6" spans="1:3" x14ac:dyDescent="0.25">
      <c r="A6" t="s">
        <v>5</v>
      </c>
      <c r="B6" t="s">
        <v>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E1" sqref="E1:E1048576"/>
    </sheetView>
  </sheetViews>
  <sheetFormatPr defaultRowHeight="15" x14ac:dyDescent="0.25"/>
  <cols>
    <col min="1" max="1" width="24.7109375" customWidth="1"/>
    <col min="2" max="2" width="11.7109375" style="3" customWidth="1"/>
    <col min="3" max="3" width="13.42578125" style="3" customWidth="1"/>
    <col min="4" max="6" width="13.140625" style="3" customWidth="1"/>
    <col min="7" max="7" width="51.28515625" customWidth="1"/>
  </cols>
  <sheetData>
    <row r="1" spans="1:7" x14ac:dyDescent="0.25">
      <c r="A1" s="1" t="s">
        <v>0</v>
      </c>
      <c r="B1" s="4" t="s">
        <v>633</v>
      </c>
      <c r="C1" s="4" t="s">
        <v>634</v>
      </c>
      <c r="D1" s="4" t="s">
        <v>636</v>
      </c>
      <c r="E1" s="4" t="s">
        <v>640</v>
      </c>
      <c r="F1" s="4" t="s">
        <v>637</v>
      </c>
      <c r="G1" s="4" t="s">
        <v>635</v>
      </c>
    </row>
    <row r="2" spans="1:7" x14ac:dyDescent="0.25">
      <c r="A2" t="s">
        <v>23</v>
      </c>
      <c r="B2" s="3" t="s">
        <v>631</v>
      </c>
    </row>
    <row r="3" spans="1:7" x14ac:dyDescent="0.25">
      <c r="A3" t="s">
        <v>24</v>
      </c>
      <c r="C3" s="3" t="s">
        <v>631</v>
      </c>
    </row>
    <row r="4" spans="1:7" x14ac:dyDescent="0.25">
      <c r="A4" t="s">
        <v>25</v>
      </c>
      <c r="D4" s="3" t="s">
        <v>631</v>
      </c>
    </row>
    <row r="5" spans="1:7" x14ac:dyDescent="0.25">
      <c r="A5" t="s">
        <v>26</v>
      </c>
      <c r="B5" s="3" t="s">
        <v>631</v>
      </c>
    </row>
    <row r="6" spans="1:7" x14ac:dyDescent="0.25">
      <c r="A6" t="s">
        <v>27</v>
      </c>
      <c r="B6" s="3" t="s">
        <v>631</v>
      </c>
    </row>
    <row r="7" spans="1:7" x14ac:dyDescent="0.25">
      <c r="A7" t="s">
        <v>28</v>
      </c>
      <c r="B7" s="3" t="s">
        <v>631</v>
      </c>
    </row>
    <row r="8" spans="1:7" x14ac:dyDescent="0.25">
      <c r="A8" t="s">
        <v>29</v>
      </c>
      <c r="B8" s="3" t="s">
        <v>631</v>
      </c>
      <c r="E8" s="3" t="s">
        <v>631</v>
      </c>
    </row>
    <row r="9" spans="1:7" x14ac:dyDescent="0.25">
      <c r="A9" t="s">
        <v>30</v>
      </c>
      <c r="C9" s="3" t="s">
        <v>631</v>
      </c>
    </row>
    <row r="10" spans="1:7" x14ac:dyDescent="0.25">
      <c r="A10" t="s">
        <v>31</v>
      </c>
      <c r="B10" s="3" t="s">
        <v>631</v>
      </c>
    </row>
    <row r="11" spans="1:7" x14ac:dyDescent="0.25">
      <c r="A11" t="s">
        <v>32</v>
      </c>
      <c r="B11" s="3" t="s">
        <v>631</v>
      </c>
    </row>
    <row r="12" spans="1:7" x14ac:dyDescent="0.25">
      <c r="A12" t="s">
        <v>33</v>
      </c>
      <c r="B12" s="3" t="s">
        <v>631</v>
      </c>
    </row>
    <row r="13" spans="1:7" x14ac:dyDescent="0.25">
      <c r="A13" t="s">
        <v>34</v>
      </c>
      <c r="E13" s="3" t="s">
        <v>631</v>
      </c>
      <c r="G13" t="s">
        <v>641</v>
      </c>
    </row>
    <row r="14" spans="1:7" x14ac:dyDescent="0.25">
      <c r="A14" t="s">
        <v>35</v>
      </c>
      <c r="B14" s="3" t="s">
        <v>631</v>
      </c>
    </row>
    <row r="15" spans="1:7" x14ac:dyDescent="0.25">
      <c r="A15" t="s">
        <v>36</v>
      </c>
      <c r="D15" s="3" t="s">
        <v>631</v>
      </c>
    </row>
    <row r="16" spans="1:7" x14ac:dyDescent="0.25">
      <c r="A16" t="s">
        <v>37</v>
      </c>
      <c r="B16" s="3" t="s">
        <v>631</v>
      </c>
    </row>
    <row r="17" spans="1:7" x14ac:dyDescent="0.25">
      <c r="A17" t="s">
        <v>38</v>
      </c>
    </row>
    <row r="18" spans="1:7" x14ac:dyDescent="0.25">
      <c r="A18" t="s">
        <v>39</v>
      </c>
      <c r="B18" s="3" t="s">
        <v>631</v>
      </c>
    </row>
    <row r="19" spans="1:7" x14ac:dyDescent="0.25">
      <c r="A19" t="s">
        <v>40</v>
      </c>
      <c r="B19" s="3" t="s">
        <v>631</v>
      </c>
    </row>
    <row r="20" spans="1:7" x14ac:dyDescent="0.25">
      <c r="A20" t="s">
        <v>41</v>
      </c>
      <c r="E20" s="3" t="s">
        <v>631</v>
      </c>
    </row>
    <row r="21" spans="1:7" x14ac:dyDescent="0.25">
      <c r="A21" t="s">
        <v>42</v>
      </c>
      <c r="E21" s="3" t="s">
        <v>631</v>
      </c>
      <c r="F21" s="3" t="s">
        <v>631</v>
      </c>
      <c r="G21" t="s">
        <v>642</v>
      </c>
    </row>
    <row r="22" spans="1:7" x14ac:dyDescent="0.25">
      <c r="A22" t="s">
        <v>43</v>
      </c>
      <c r="B22" s="3" t="s">
        <v>631</v>
      </c>
    </row>
    <row r="23" spans="1:7" x14ac:dyDescent="0.25">
      <c r="A23" t="s">
        <v>44</v>
      </c>
      <c r="B23" s="3" t="s">
        <v>631</v>
      </c>
    </row>
    <row r="24" spans="1:7" x14ac:dyDescent="0.25">
      <c r="A24" t="s">
        <v>45</v>
      </c>
      <c r="E24" s="3" t="s">
        <v>631</v>
      </c>
      <c r="F24" s="3" t="s">
        <v>631</v>
      </c>
      <c r="G24" t="s">
        <v>643</v>
      </c>
    </row>
    <row r="25" spans="1:7" x14ac:dyDescent="0.25">
      <c r="A25" t="s">
        <v>46</v>
      </c>
      <c r="B25" s="3" t="s">
        <v>631</v>
      </c>
      <c r="D25" s="3" t="s">
        <v>631</v>
      </c>
    </row>
    <row r="26" spans="1:7" x14ac:dyDescent="0.25">
      <c r="A26" t="s">
        <v>47</v>
      </c>
      <c r="B26" s="3" t="s">
        <v>631</v>
      </c>
    </row>
    <row r="27" spans="1:7" x14ac:dyDescent="0.25">
      <c r="A27" t="s">
        <v>48</v>
      </c>
      <c r="E27" s="3" t="s">
        <v>631</v>
      </c>
      <c r="F27" s="3" t="s">
        <v>631</v>
      </c>
      <c r="G27" t="s">
        <v>643</v>
      </c>
    </row>
    <row r="28" spans="1:7" x14ac:dyDescent="0.25">
      <c r="A28" t="s">
        <v>49</v>
      </c>
      <c r="B28" s="3" t="s">
        <v>631</v>
      </c>
    </row>
    <row r="29" spans="1:7" x14ac:dyDescent="0.25">
      <c r="A29" t="s">
        <v>50</v>
      </c>
      <c r="B29" s="3" t="s">
        <v>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"/>
  <sheetViews>
    <sheetView workbookViewId="0">
      <pane ySplit="1" topLeftCell="A155" activePane="bottomLeft" state="frozen"/>
      <selection pane="bottomLeft" activeCell="B187" sqref="B187"/>
    </sheetView>
  </sheetViews>
  <sheetFormatPr defaultRowHeight="15" x14ac:dyDescent="0.25"/>
  <cols>
    <col min="1" max="1" width="22.28515625" customWidth="1"/>
    <col min="2" max="2" width="9.28515625" style="3" bestFit="1" customWidth="1"/>
    <col min="3" max="3" width="13.140625" style="3" customWidth="1"/>
    <col min="4" max="4" width="12.42578125" style="3" customWidth="1"/>
    <col min="5" max="5" width="11.5703125" style="3" bestFit="1" customWidth="1"/>
    <col min="6" max="6" width="12.5703125" style="3" customWidth="1"/>
    <col min="7" max="7" width="13.140625" style="3" bestFit="1" customWidth="1"/>
    <col min="8" max="8" width="12.28515625" style="3" bestFit="1" customWidth="1"/>
    <col min="9" max="9" width="61.85546875" customWidth="1"/>
  </cols>
  <sheetData>
    <row r="1" spans="1:9" x14ac:dyDescent="0.25">
      <c r="A1" s="1" t="s">
        <v>0</v>
      </c>
      <c r="B1" s="4" t="s">
        <v>633</v>
      </c>
      <c r="C1" s="4" t="s">
        <v>640</v>
      </c>
      <c r="D1" s="4" t="s">
        <v>628</v>
      </c>
      <c r="E1" s="4" t="s">
        <v>634</v>
      </c>
      <c r="F1" s="4" t="s">
        <v>639</v>
      </c>
      <c r="G1" s="4" t="s">
        <v>636</v>
      </c>
      <c r="H1" s="4" t="s">
        <v>637</v>
      </c>
      <c r="I1" s="4" t="s">
        <v>635</v>
      </c>
    </row>
    <row r="2" spans="1:9" x14ac:dyDescent="0.25">
      <c r="A2" t="s">
        <v>54</v>
      </c>
      <c r="B2" s="3" t="s">
        <v>631</v>
      </c>
      <c r="F2" s="3" t="s">
        <v>631</v>
      </c>
    </row>
    <row r="3" spans="1:9" x14ac:dyDescent="0.25">
      <c r="A3" t="s">
        <v>55</v>
      </c>
      <c r="F3" s="3" t="s">
        <v>631</v>
      </c>
    </row>
    <row r="4" spans="1:9" x14ac:dyDescent="0.25">
      <c r="A4" t="s">
        <v>56</v>
      </c>
      <c r="C4" s="3" t="s">
        <v>631</v>
      </c>
    </row>
    <row r="5" spans="1:9" x14ac:dyDescent="0.25">
      <c r="A5" t="s">
        <v>57</v>
      </c>
      <c r="F5" s="3" t="s">
        <v>631</v>
      </c>
    </row>
    <row r="6" spans="1:9" x14ac:dyDescent="0.25">
      <c r="A6" t="s">
        <v>58</v>
      </c>
      <c r="B6" s="3" t="s">
        <v>631</v>
      </c>
      <c r="C6" s="3" t="s">
        <v>631</v>
      </c>
    </row>
    <row r="7" spans="1:9" x14ac:dyDescent="0.25">
      <c r="A7" t="s">
        <v>59</v>
      </c>
      <c r="C7" s="3" t="s">
        <v>631</v>
      </c>
    </row>
    <row r="8" spans="1:9" x14ac:dyDescent="0.25">
      <c r="A8" t="s">
        <v>60</v>
      </c>
      <c r="B8" s="3" t="s">
        <v>631</v>
      </c>
    </row>
    <row r="9" spans="1:9" x14ac:dyDescent="0.25">
      <c r="A9" t="s">
        <v>61</v>
      </c>
      <c r="F9" s="3" t="s">
        <v>631</v>
      </c>
    </row>
    <row r="10" spans="1:9" x14ac:dyDescent="0.25">
      <c r="A10" t="s">
        <v>62</v>
      </c>
      <c r="B10" s="3" t="s">
        <v>631</v>
      </c>
    </row>
    <row r="11" spans="1:9" x14ac:dyDescent="0.25">
      <c r="A11" t="s">
        <v>63</v>
      </c>
      <c r="B11" s="3" t="s">
        <v>631</v>
      </c>
    </row>
    <row r="12" spans="1:9" x14ac:dyDescent="0.25">
      <c r="A12" t="s">
        <v>64</v>
      </c>
      <c r="C12" s="3" t="s">
        <v>631</v>
      </c>
    </row>
    <row r="13" spans="1:9" x14ac:dyDescent="0.25">
      <c r="A13" t="s">
        <v>65</v>
      </c>
      <c r="B13" s="3" t="s">
        <v>631</v>
      </c>
    </row>
    <row r="14" spans="1:9" x14ac:dyDescent="0.25">
      <c r="A14" t="s">
        <v>66</v>
      </c>
      <c r="F14" s="3" t="s">
        <v>631</v>
      </c>
    </row>
    <row r="15" spans="1:9" x14ac:dyDescent="0.25">
      <c r="A15" t="s">
        <v>67</v>
      </c>
      <c r="B15" s="3" t="s">
        <v>631</v>
      </c>
    </row>
    <row r="16" spans="1:9" x14ac:dyDescent="0.25">
      <c r="A16" t="s">
        <v>68</v>
      </c>
      <c r="B16" s="3" t="s">
        <v>631</v>
      </c>
      <c r="C16" s="3" t="s">
        <v>631</v>
      </c>
    </row>
    <row r="17" spans="1:7" x14ac:dyDescent="0.25">
      <c r="A17" t="s">
        <v>69</v>
      </c>
      <c r="C17" s="3" t="s">
        <v>631</v>
      </c>
    </row>
    <row r="18" spans="1:7" x14ac:dyDescent="0.25">
      <c r="A18" t="s">
        <v>70</v>
      </c>
      <c r="B18" s="3" t="s">
        <v>631</v>
      </c>
    </row>
    <row r="19" spans="1:7" x14ac:dyDescent="0.25">
      <c r="A19" t="s">
        <v>71</v>
      </c>
      <c r="C19" s="3" t="s">
        <v>631</v>
      </c>
    </row>
    <row r="20" spans="1:7" x14ac:dyDescent="0.25">
      <c r="A20" t="s">
        <v>72</v>
      </c>
      <c r="C20" s="3" t="s">
        <v>631</v>
      </c>
    </row>
    <row r="21" spans="1:7" x14ac:dyDescent="0.25">
      <c r="A21" t="s">
        <v>73</v>
      </c>
      <c r="C21" s="3" t="s">
        <v>631</v>
      </c>
    </row>
    <row r="22" spans="1:7" x14ac:dyDescent="0.25">
      <c r="A22" t="s">
        <v>74</v>
      </c>
      <c r="C22" s="3" t="s">
        <v>631</v>
      </c>
    </row>
    <row r="23" spans="1:7" x14ac:dyDescent="0.25">
      <c r="A23" t="s">
        <v>75</v>
      </c>
      <c r="C23" s="3" t="s">
        <v>631</v>
      </c>
    </row>
    <row r="24" spans="1:7" x14ac:dyDescent="0.25">
      <c r="A24" t="s">
        <v>76</v>
      </c>
      <c r="C24" s="3" t="s">
        <v>631</v>
      </c>
    </row>
    <row r="25" spans="1:7" x14ac:dyDescent="0.25">
      <c r="A25" t="s">
        <v>77</v>
      </c>
      <c r="B25" s="3" t="s">
        <v>631</v>
      </c>
    </row>
    <row r="26" spans="1:7" x14ac:dyDescent="0.25">
      <c r="A26" t="s">
        <v>78</v>
      </c>
      <c r="C26" s="3" t="s">
        <v>631</v>
      </c>
    </row>
    <row r="27" spans="1:7" x14ac:dyDescent="0.25">
      <c r="A27" t="s">
        <v>79</v>
      </c>
      <c r="C27" s="3" t="s">
        <v>631</v>
      </c>
    </row>
    <row r="28" spans="1:7" x14ac:dyDescent="0.25">
      <c r="A28" t="s">
        <v>80</v>
      </c>
      <c r="C28" s="3" t="s">
        <v>631</v>
      </c>
      <c r="G28" s="3" t="s">
        <v>631</v>
      </c>
    </row>
    <row r="29" spans="1:7" x14ac:dyDescent="0.25">
      <c r="A29" t="s">
        <v>81</v>
      </c>
      <c r="C29" s="3" t="s">
        <v>631</v>
      </c>
    </row>
    <row r="30" spans="1:7" x14ac:dyDescent="0.25">
      <c r="A30" t="s">
        <v>82</v>
      </c>
      <c r="C30" s="3" t="s">
        <v>631</v>
      </c>
    </row>
    <row r="31" spans="1:7" x14ac:dyDescent="0.25">
      <c r="A31" t="s">
        <v>83</v>
      </c>
      <c r="B31" s="3" t="s">
        <v>631</v>
      </c>
    </row>
    <row r="32" spans="1:7" x14ac:dyDescent="0.25">
      <c r="A32" t="s">
        <v>84</v>
      </c>
      <c r="C32" s="3" t="s">
        <v>631</v>
      </c>
    </row>
    <row r="33" spans="1:7" x14ac:dyDescent="0.25">
      <c r="A33" t="s">
        <v>85</v>
      </c>
      <c r="C33" s="3" t="s">
        <v>631</v>
      </c>
    </row>
    <row r="34" spans="1:7" x14ac:dyDescent="0.25">
      <c r="A34" t="s">
        <v>86</v>
      </c>
      <c r="G34" s="3" t="s">
        <v>631</v>
      </c>
    </row>
    <row r="35" spans="1:7" x14ac:dyDescent="0.25">
      <c r="A35" t="s">
        <v>87</v>
      </c>
      <c r="C35" s="3" t="s">
        <v>631</v>
      </c>
    </row>
    <row r="36" spans="1:7" x14ac:dyDescent="0.25">
      <c r="A36" t="s">
        <v>88</v>
      </c>
      <c r="C36" s="3" t="s">
        <v>631</v>
      </c>
    </row>
    <row r="37" spans="1:7" x14ac:dyDescent="0.25">
      <c r="A37" t="s">
        <v>89</v>
      </c>
      <c r="C37" s="3" t="s">
        <v>631</v>
      </c>
      <c r="G37" s="3" t="s">
        <v>631</v>
      </c>
    </row>
    <row r="38" spans="1:7" x14ac:dyDescent="0.25">
      <c r="A38" t="s">
        <v>90</v>
      </c>
      <c r="E38" s="3" t="s">
        <v>631</v>
      </c>
      <c r="G38" s="3" t="s">
        <v>631</v>
      </c>
    </row>
    <row r="39" spans="1:7" x14ac:dyDescent="0.25">
      <c r="A39" t="s">
        <v>91</v>
      </c>
      <c r="C39" s="3" t="s">
        <v>631</v>
      </c>
    </row>
    <row r="40" spans="1:7" x14ac:dyDescent="0.25">
      <c r="A40" t="s">
        <v>92</v>
      </c>
      <c r="C40" s="3" t="s">
        <v>631</v>
      </c>
    </row>
    <row r="41" spans="1:7" x14ac:dyDescent="0.25">
      <c r="A41" t="s">
        <v>93</v>
      </c>
      <c r="G41" s="3" t="s">
        <v>631</v>
      </c>
    </row>
    <row r="42" spans="1:7" x14ac:dyDescent="0.25">
      <c r="A42" t="s">
        <v>94</v>
      </c>
      <c r="C42" s="3" t="s">
        <v>631</v>
      </c>
    </row>
    <row r="43" spans="1:7" x14ac:dyDescent="0.25">
      <c r="A43" t="s">
        <v>95</v>
      </c>
      <c r="C43" s="3" t="s">
        <v>631</v>
      </c>
      <c r="F43" s="3" t="s">
        <v>631</v>
      </c>
    </row>
    <row r="44" spans="1:7" x14ac:dyDescent="0.25">
      <c r="A44" t="s">
        <v>96</v>
      </c>
      <c r="B44" s="3" t="s">
        <v>631</v>
      </c>
    </row>
    <row r="45" spans="1:7" x14ac:dyDescent="0.25">
      <c r="A45" t="s">
        <v>97</v>
      </c>
      <c r="D45" s="3" t="s">
        <v>631</v>
      </c>
    </row>
    <row r="46" spans="1:7" x14ac:dyDescent="0.25">
      <c r="A46" t="s">
        <v>98</v>
      </c>
      <c r="B46" s="3" t="s">
        <v>631</v>
      </c>
    </row>
    <row r="47" spans="1:7" x14ac:dyDescent="0.25">
      <c r="A47" t="s">
        <v>99</v>
      </c>
      <c r="B47" s="3" t="s">
        <v>631</v>
      </c>
    </row>
    <row r="48" spans="1:7" x14ac:dyDescent="0.25">
      <c r="A48" t="s">
        <v>100</v>
      </c>
      <c r="B48" s="3" t="s">
        <v>631</v>
      </c>
    </row>
    <row r="49" spans="1:6" x14ac:dyDescent="0.25">
      <c r="A49" t="s">
        <v>101</v>
      </c>
      <c r="B49" s="3" t="s">
        <v>631</v>
      </c>
    </row>
    <row r="50" spans="1:6" x14ac:dyDescent="0.25">
      <c r="A50" t="s">
        <v>102</v>
      </c>
      <c r="B50" s="3" t="s">
        <v>631</v>
      </c>
    </row>
    <row r="51" spans="1:6" x14ac:dyDescent="0.25">
      <c r="A51" t="s">
        <v>103</v>
      </c>
      <c r="E51" s="3" t="s">
        <v>631</v>
      </c>
      <c r="F51" s="3" t="s">
        <v>631</v>
      </c>
    </row>
    <row r="52" spans="1:6" x14ac:dyDescent="0.25">
      <c r="A52" t="s">
        <v>104</v>
      </c>
      <c r="C52" s="3" t="s">
        <v>631</v>
      </c>
    </row>
    <row r="53" spans="1:6" x14ac:dyDescent="0.25">
      <c r="A53" t="s">
        <v>105</v>
      </c>
      <c r="C53" s="3" t="s">
        <v>631</v>
      </c>
    </row>
    <row r="54" spans="1:6" x14ac:dyDescent="0.25">
      <c r="A54" t="s">
        <v>106</v>
      </c>
      <c r="C54" s="3" t="s">
        <v>631</v>
      </c>
    </row>
    <row r="55" spans="1:6" x14ac:dyDescent="0.25">
      <c r="A55" t="s">
        <v>107</v>
      </c>
      <c r="B55" s="3" t="s">
        <v>631</v>
      </c>
    </row>
    <row r="56" spans="1:6" x14ac:dyDescent="0.25">
      <c r="A56" t="s">
        <v>108</v>
      </c>
      <c r="C56" s="3" t="s">
        <v>631</v>
      </c>
    </row>
    <row r="57" spans="1:6" x14ac:dyDescent="0.25">
      <c r="A57" t="s">
        <v>109</v>
      </c>
      <c r="B57" s="3" t="s">
        <v>631</v>
      </c>
    </row>
    <row r="58" spans="1:6" x14ac:dyDescent="0.25">
      <c r="A58" t="s">
        <v>110</v>
      </c>
      <c r="C58" s="3" t="s">
        <v>631</v>
      </c>
    </row>
    <row r="59" spans="1:6" x14ac:dyDescent="0.25">
      <c r="A59" t="s">
        <v>111</v>
      </c>
      <c r="C59" s="3" t="s">
        <v>631</v>
      </c>
    </row>
    <row r="60" spans="1:6" x14ac:dyDescent="0.25">
      <c r="A60" t="s">
        <v>112</v>
      </c>
      <c r="C60" s="3" t="s">
        <v>631</v>
      </c>
    </row>
    <row r="61" spans="1:6" x14ac:dyDescent="0.25">
      <c r="A61" t="s">
        <v>113</v>
      </c>
      <c r="C61" s="3" t="s">
        <v>631</v>
      </c>
    </row>
    <row r="62" spans="1:6" x14ac:dyDescent="0.25">
      <c r="A62" t="s">
        <v>114</v>
      </c>
      <c r="C62" s="3" t="s">
        <v>631</v>
      </c>
    </row>
    <row r="63" spans="1:6" x14ac:dyDescent="0.25">
      <c r="A63" t="s">
        <v>115</v>
      </c>
      <c r="C63" s="3" t="s">
        <v>631</v>
      </c>
    </row>
    <row r="64" spans="1:6" x14ac:dyDescent="0.25">
      <c r="A64" t="s">
        <v>116</v>
      </c>
      <c r="F64" s="3" t="s">
        <v>631</v>
      </c>
    </row>
    <row r="65" spans="1:3" x14ac:dyDescent="0.25">
      <c r="A65" t="s">
        <v>117</v>
      </c>
      <c r="C65" s="3" t="s">
        <v>631</v>
      </c>
    </row>
    <row r="66" spans="1:3" x14ac:dyDescent="0.25">
      <c r="A66" t="s">
        <v>118</v>
      </c>
      <c r="C66" s="3" t="s">
        <v>631</v>
      </c>
    </row>
    <row r="67" spans="1:3" x14ac:dyDescent="0.25">
      <c r="A67" t="s">
        <v>119</v>
      </c>
      <c r="C67" s="3" t="s">
        <v>631</v>
      </c>
    </row>
    <row r="68" spans="1:3" x14ac:dyDescent="0.25">
      <c r="A68" t="s">
        <v>120</v>
      </c>
      <c r="C68" s="3" t="s">
        <v>631</v>
      </c>
    </row>
    <row r="69" spans="1:3" x14ac:dyDescent="0.25">
      <c r="A69" t="s">
        <v>121</v>
      </c>
      <c r="B69" s="3" t="s">
        <v>631</v>
      </c>
    </row>
    <row r="70" spans="1:3" x14ac:dyDescent="0.25">
      <c r="A70" t="s">
        <v>122</v>
      </c>
      <c r="B70" s="3" t="s">
        <v>631</v>
      </c>
    </row>
    <row r="71" spans="1:3" x14ac:dyDescent="0.25">
      <c r="A71" t="s">
        <v>123</v>
      </c>
      <c r="C71" s="3" t="s">
        <v>631</v>
      </c>
    </row>
    <row r="72" spans="1:3" x14ac:dyDescent="0.25">
      <c r="A72" t="s">
        <v>124</v>
      </c>
      <c r="B72" s="3" t="s">
        <v>631</v>
      </c>
    </row>
    <row r="73" spans="1:3" x14ac:dyDescent="0.25">
      <c r="A73" t="s">
        <v>125</v>
      </c>
      <c r="C73" s="3" t="s">
        <v>631</v>
      </c>
    </row>
    <row r="74" spans="1:3" x14ac:dyDescent="0.25">
      <c r="A74" t="s">
        <v>126</v>
      </c>
      <c r="C74" s="3" t="s">
        <v>631</v>
      </c>
    </row>
    <row r="75" spans="1:3" x14ac:dyDescent="0.25">
      <c r="A75" t="s">
        <v>127</v>
      </c>
      <c r="C75" s="3" t="s">
        <v>631</v>
      </c>
    </row>
    <row r="76" spans="1:3" x14ac:dyDescent="0.25">
      <c r="A76" t="s">
        <v>128</v>
      </c>
      <c r="C76" s="3" t="s">
        <v>631</v>
      </c>
    </row>
    <row r="77" spans="1:3" x14ac:dyDescent="0.25">
      <c r="A77" t="s">
        <v>129</v>
      </c>
      <c r="B77" s="3" t="s">
        <v>631</v>
      </c>
    </row>
    <row r="78" spans="1:3" x14ac:dyDescent="0.25">
      <c r="A78" t="s">
        <v>130</v>
      </c>
      <c r="B78" s="3" t="s">
        <v>631</v>
      </c>
    </row>
    <row r="79" spans="1:3" x14ac:dyDescent="0.25">
      <c r="A79" t="s">
        <v>131</v>
      </c>
      <c r="B79" s="3" t="s">
        <v>631</v>
      </c>
    </row>
    <row r="80" spans="1:3" x14ac:dyDescent="0.25">
      <c r="A80" t="s">
        <v>132</v>
      </c>
      <c r="B80" s="3" t="s">
        <v>631</v>
      </c>
    </row>
    <row r="81" spans="1:6" x14ac:dyDescent="0.25">
      <c r="A81" t="s">
        <v>133</v>
      </c>
      <c r="C81" s="3" t="s">
        <v>631</v>
      </c>
    </row>
    <row r="82" spans="1:6" x14ac:dyDescent="0.25">
      <c r="A82" t="s">
        <v>134</v>
      </c>
      <c r="B82" s="3" t="s">
        <v>631</v>
      </c>
    </row>
    <row r="83" spans="1:6" x14ac:dyDescent="0.25">
      <c r="A83" t="s">
        <v>135</v>
      </c>
      <c r="C83" s="3" t="s">
        <v>631</v>
      </c>
    </row>
    <row r="84" spans="1:6" x14ac:dyDescent="0.25">
      <c r="A84" t="s">
        <v>136</v>
      </c>
      <c r="F84" s="3" t="s">
        <v>631</v>
      </c>
    </row>
    <row r="85" spans="1:6" x14ac:dyDescent="0.25">
      <c r="A85" t="s">
        <v>137</v>
      </c>
      <c r="C85" s="3" t="s">
        <v>631</v>
      </c>
    </row>
    <row r="86" spans="1:6" x14ac:dyDescent="0.25">
      <c r="A86" t="s">
        <v>138</v>
      </c>
      <c r="C86" s="3" t="s">
        <v>631</v>
      </c>
    </row>
    <row r="87" spans="1:6" x14ac:dyDescent="0.25">
      <c r="A87" t="s">
        <v>139</v>
      </c>
      <c r="C87" s="3" t="s">
        <v>631</v>
      </c>
    </row>
    <row r="88" spans="1:6" x14ac:dyDescent="0.25">
      <c r="A88" t="s">
        <v>140</v>
      </c>
      <c r="C88" s="3" t="s">
        <v>631</v>
      </c>
    </row>
    <row r="89" spans="1:6" x14ac:dyDescent="0.25">
      <c r="A89" t="s">
        <v>141</v>
      </c>
      <c r="F89" s="3" t="s">
        <v>631</v>
      </c>
    </row>
    <row r="90" spans="1:6" x14ac:dyDescent="0.25">
      <c r="A90" t="s">
        <v>142</v>
      </c>
      <c r="F90" s="3" t="s">
        <v>631</v>
      </c>
    </row>
    <row r="91" spans="1:6" x14ac:dyDescent="0.25">
      <c r="A91" t="s">
        <v>143</v>
      </c>
      <c r="C91" s="3" t="s">
        <v>631</v>
      </c>
    </row>
    <row r="92" spans="1:6" x14ac:dyDescent="0.25">
      <c r="A92" t="s">
        <v>144</v>
      </c>
      <c r="C92" s="3" t="s">
        <v>631</v>
      </c>
    </row>
    <row r="93" spans="1:6" x14ac:dyDescent="0.25">
      <c r="A93" t="s">
        <v>145</v>
      </c>
      <c r="C93" s="3" t="s">
        <v>631</v>
      </c>
    </row>
    <row r="94" spans="1:6" x14ac:dyDescent="0.25">
      <c r="A94" t="s">
        <v>146</v>
      </c>
      <c r="C94" s="3" t="s">
        <v>631</v>
      </c>
    </row>
    <row r="95" spans="1:6" x14ac:dyDescent="0.25">
      <c r="A95" t="s">
        <v>147</v>
      </c>
      <c r="C95" s="3" t="s">
        <v>631</v>
      </c>
    </row>
    <row r="96" spans="1:6" x14ac:dyDescent="0.25">
      <c r="A96" t="s">
        <v>148</v>
      </c>
      <c r="C96" s="3" t="s">
        <v>631</v>
      </c>
    </row>
    <row r="97" spans="1:3" x14ac:dyDescent="0.25">
      <c r="A97" t="s">
        <v>149</v>
      </c>
      <c r="B97" s="3" t="s">
        <v>631</v>
      </c>
    </row>
    <row r="98" spans="1:3" x14ac:dyDescent="0.25">
      <c r="A98" t="s">
        <v>150</v>
      </c>
      <c r="C98" s="3" t="s">
        <v>631</v>
      </c>
    </row>
    <row r="99" spans="1:3" x14ac:dyDescent="0.25">
      <c r="A99" t="s">
        <v>151</v>
      </c>
      <c r="B99" s="3" t="s">
        <v>631</v>
      </c>
    </row>
    <row r="100" spans="1:3" x14ac:dyDescent="0.25">
      <c r="A100" t="s">
        <v>152</v>
      </c>
      <c r="C100" s="3" t="s">
        <v>631</v>
      </c>
    </row>
    <row r="101" spans="1:3" x14ac:dyDescent="0.25">
      <c r="A101" t="s">
        <v>153</v>
      </c>
      <c r="C101" s="3" t="s">
        <v>631</v>
      </c>
    </row>
    <row r="102" spans="1:3" x14ac:dyDescent="0.25">
      <c r="A102" t="s">
        <v>154</v>
      </c>
      <c r="B102" s="3" t="s">
        <v>631</v>
      </c>
    </row>
    <row r="103" spans="1:3" x14ac:dyDescent="0.25">
      <c r="A103" t="s">
        <v>155</v>
      </c>
      <c r="C103" s="3" t="s">
        <v>631</v>
      </c>
    </row>
    <row r="104" spans="1:3" x14ac:dyDescent="0.25">
      <c r="A104" t="s">
        <v>156</v>
      </c>
      <c r="C104" s="3" t="s">
        <v>631</v>
      </c>
    </row>
    <row r="105" spans="1:3" x14ac:dyDescent="0.25">
      <c r="A105" t="s">
        <v>157</v>
      </c>
      <c r="C105" s="3" t="s">
        <v>631</v>
      </c>
    </row>
    <row r="106" spans="1:3" x14ac:dyDescent="0.25">
      <c r="A106" t="s">
        <v>158</v>
      </c>
      <c r="C106" s="3" t="s">
        <v>631</v>
      </c>
    </row>
    <row r="107" spans="1:3" x14ac:dyDescent="0.25">
      <c r="A107" t="s">
        <v>159</v>
      </c>
      <c r="B107" s="3" t="s">
        <v>631</v>
      </c>
    </row>
    <row r="108" spans="1:3" x14ac:dyDescent="0.25">
      <c r="A108" t="s">
        <v>160</v>
      </c>
      <c r="C108" s="3" t="s">
        <v>631</v>
      </c>
    </row>
    <row r="109" spans="1:3" x14ac:dyDescent="0.25">
      <c r="A109" t="s">
        <v>161</v>
      </c>
      <c r="B109" s="3" t="s">
        <v>631</v>
      </c>
    </row>
    <row r="110" spans="1:3" x14ac:dyDescent="0.25">
      <c r="A110" t="s">
        <v>162</v>
      </c>
      <c r="B110" s="3" t="s">
        <v>631</v>
      </c>
    </row>
    <row r="111" spans="1:3" x14ac:dyDescent="0.25">
      <c r="A111" t="s">
        <v>163</v>
      </c>
      <c r="B111" s="3" t="s">
        <v>631</v>
      </c>
    </row>
    <row r="112" spans="1:3" x14ac:dyDescent="0.25">
      <c r="A112" t="s">
        <v>164</v>
      </c>
      <c r="C112" s="3" t="s">
        <v>631</v>
      </c>
    </row>
    <row r="113" spans="1:8" x14ac:dyDescent="0.25">
      <c r="A113" t="s">
        <v>165</v>
      </c>
      <c r="C113" s="3" t="s">
        <v>631</v>
      </c>
    </row>
    <row r="114" spans="1:8" x14ac:dyDescent="0.25">
      <c r="A114" t="s">
        <v>166</v>
      </c>
      <c r="C114" s="3" t="s">
        <v>631</v>
      </c>
    </row>
    <row r="115" spans="1:8" x14ac:dyDescent="0.25">
      <c r="A115" t="s">
        <v>167</v>
      </c>
      <c r="B115" s="3" t="s">
        <v>631</v>
      </c>
    </row>
    <row r="116" spans="1:8" x14ac:dyDescent="0.25">
      <c r="A116" t="s">
        <v>168</v>
      </c>
      <c r="C116" s="3" t="s">
        <v>631</v>
      </c>
    </row>
    <row r="117" spans="1:8" x14ac:dyDescent="0.25">
      <c r="A117" t="s">
        <v>169</v>
      </c>
      <c r="F117" s="3" t="s">
        <v>631</v>
      </c>
    </row>
    <row r="118" spans="1:8" x14ac:dyDescent="0.25">
      <c r="A118" t="s">
        <v>170</v>
      </c>
      <c r="C118" s="3" t="s">
        <v>631</v>
      </c>
    </row>
    <row r="119" spans="1:8" x14ac:dyDescent="0.25">
      <c r="A119" t="s">
        <v>171</v>
      </c>
      <c r="C119" s="3" t="s">
        <v>631</v>
      </c>
    </row>
    <row r="120" spans="1:8" x14ac:dyDescent="0.25">
      <c r="A120" t="s">
        <v>172</v>
      </c>
      <c r="F120" s="3" t="s">
        <v>631</v>
      </c>
    </row>
    <row r="121" spans="1:8" x14ac:dyDescent="0.25">
      <c r="A121" t="s">
        <v>173</v>
      </c>
      <c r="C121" s="3" t="s">
        <v>631</v>
      </c>
    </row>
    <row r="122" spans="1:8" x14ac:dyDescent="0.25">
      <c r="A122" t="s">
        <v>174</v>
      </c>
      <c r="F122" s="3" t="s">
        <v>631</v>
      </c>
    </row>
    <row r="123" spans="1:8" x14ac:dyDescent="0.25">
      <c r="A123" t="s">
        <v>175</v>
      </c>
      <c r="C123" s="3" t="s">
        <v>631</v>
      </c>
    </row>
    <row r="124" spans="1:8" x14ac:dyDescent="0.25">
      <c r="A124" t="s">
        <v>176</v>
      </c>
      <c r="B124" s="3" t="s">
        <v>631</v>
      </c>
    </row>
    <row r="125" spans="1:8" x14ac:dyDescent="0.25">
      <c r="A125" t="s">
        <v>177</v>
      </c>
      <c r="H125" s="3" t="s">
        <v>631</v>
      </c>
    </row>
    <row r="126" spans="1:8" x14ac:dyDescent="0.25">
      <c r="A126" t="s">
        <v>178</v>
      </c>
      <c r="B126" s="3" t="s">
        <v>631</v>
      </c>
    </row>
    <row r="127" spans="1:8" x14ac:dyDescent="0.25">
      <c r="A127" t="s">
        <v>179</v>
      </c>
      <c r="C127" s="3" t="s">
        <v>631</v>
      </c>
    </row>
    <row r="128" spans="1:8" x14ac:dyDescent="0.25">
      <c r="A128" t="s">
        <v>180</v>
      </c>
      <c r="C128" s="3" t="s">
        <v>631</v>
      </c>
    </row>
    <row r="129" spans="1:6" x14ac:dyDescent="0.25">
      <c r="A129" t="s">
        <v>181</v>
      </c>
      <c r="B129" s="3" t="s">
        <v>631</v>
      </c>
    </row>
    <row r="130" spans="1:6" x14ac:dyDescent="0.25">
      <c r="A130" t="s">
        <v>182</v>
      </c>
      <c r="C130" s="3" t="s">
        <v>631</v>
      </c>
    </row>
    <row r="131" spans="1:6" x14ac:dyDescent="0.25">
      <c r="A131" t="s">
        <v>183</v>
      </c>
      <c r="C131" s="3" t="s">
        <v>631</v>
      </c>
    </row>
    <row r="132" spans="1:6" x14ac:dyDescent="0.25">
      <c r="A132" t="s">
        <v>184</v>
      </c>
      <c r="C132" s="3" t="s">
        <v>631</v>
      </c>
    </row>
    <row r="133" spans="1:6" x14ac:dyDescent="0.25">
      <c r="A133" t="s">
        <v>185</v>
      </c>
      <c r="C133" s="3" t="s">
        <v>631</v>
      </c>
    </row>
    <row r="134" spans="1:6" x14ac:dyDescent="0.25">
      <c r="A134" t="s">
        <v>186</v>
      </c>
      <c r="C134" s="3" t="s">
        <v>631</v>
      </c>
    </row>
    <row r="135" spans="1:6" x14ac:dyDescent="0.25">
      <c r="A135" t="s">
        <v>187</v>
      </c>
      <c r="B135" s="3" t="s">
        <v>631</v>
      </c>
    </row>
    <row r="136" spans="1:6" x14ac:dyDescent="0.25">
      <c r="A136" t="s">
        <v>188</v>
      </c>
      <c r="F136" s="3" t="s">
        <v>631</v>
      </c>
    </row>
    <row r="137" spans="1:6" x14ac:dyDescent="0.25">
      <c r="A137" t="s">
        <v>189</v>
      </c>
      <c r="F137" s="3" t="s">
        <v>631</v>
      </c>
    </row>
    <row r="138" spans="1:6" x14ac:dyDescent="0.25">
      <c r="A138" t="s">
        <v>190</v>
      </c>
      <c r="F138" s="3" t="s">
        <v>631</v>
      </c>
    </row>
    <row r="139" spans="1:6" x14ac:dyDescent="0.25">
      <c r="A139" t="s">
        <v>191</v>
      </c>
      <c r="F139" s="3" t="s">
        <v>631</v>
      </c>
    </row>
    <row r="140" spans="1:6" x14ac:dyDescent="0.25">
      <c r="A140" t="s">
        <v>192</v>
      </c>
      <c r="B140" s="3" t="s">
        <v>631</v>
      </c>
    </row>
    <row r="141" spans="1:6" x14ac:dyDescent="0.25">
      <c r="A141" t="s">
        <v>193</v>
      </c>
      <c r="C141" s="3" t="s">
        <v>631</v>
      </c>
    </row>
    <row r="142" spans="1:6" x14ac:dyDescent="0.25">
      <c r="A142" t="s">
        <v>194</v>
      </c>
      <c r="C142" s="3" t="s">
        <v>631</v>
      </c>
    </row>
    <row r="143" spans="1:6" x14ac:dyDescent="0.25">
      <c r="A143" t="s">
        <v>195</v>
      </c>
      <c r="C143" s="3" t="s">
        <v>631</v>
      </c>
    </row>
    <row r="144" spans="1:6" x14ac:dyDescent="0.25">
      <c r="A144" t="s">
        <v>196</v>
      </c>
      <c r="F144" s="3" t="s">
        <v>631</v>
      </c>
    </row>
    <row r="145" spans="1:6" x14ac:dyDescent="0.25">
      <c r="A145" t="s">
        <v>197</v>
      </c>
      <c r="C145" s="3" t="s">
        <v>631</v>
      </c>
    </row>
    <row r="146" spans="1:6" x14ac:dyDescent="0.25">
      <c r="A146" t="s">
        <v>198</v>
      </c>
      <c r="C146" s="3" t="s">
        <v>631</v>
      </c>
    </row>
    <row r="147" spans="1:6" x14ac:dyDescent="0.25">
      <c r="A147" t="s">
        <v>199</v>
      </c>
      <c r="F147" s="3" t="s">
        <v>631</v>
      </c>
    </row>
    <row r="148" spans="1:6" x14ac:dyDescent="0.25">
      <c r="A148" t="s">
        <v>200</v>
      </c>
      <c r="F148" s="3" t="s">
        <v>631</v>
      </c>
    </row>
    <row r="149" spans="1:6" x14ac:dyDescent="0.25">
      <c r="A149" t="s">
        <v>201</v>
      </c>
      <c r="C149" s="3" t="s">
        <v>631</v>
      </c>
    </row>
    <row r="150" spans="1:6" x14ac:dyDescent="0.25">
      <c r="A150" t="s">
        <v>202</v>
      </c>
      <c r="C150" s="3" t="s">
        <v>631</v>
      </c>
    </row>
    <row r="151" spans="1:6" x14ac:dyDescent="0.25">
      <c r="A151" t="s">
        <v>203</v>
      </c>
      <c r="C151" s="3" t="s">
        <v>631</v>
      </c>
    </row>
    <row r="152" spans="1:6" x14ac:dyDescent="0.25">
      <c r="A152" t="s">
        <v>204</v>
      </c>
      <c r="F152" s="3" t="s">
        <v>631</v>
      </c>
    </row>
    <row r="153" spans="1:6" x14ac:dyDescent="0.25">
      <c r="A153" t="s">
        <v>205</v>
      </c>
      <c r="B153" s="3" t="s">
        <v>631</v>
      </c>
    </row>
    <row r="154" spans="1:6" x14ac:dyDescent="0.25">
      <c r="A154" t="s">
        <v>206</v>
      </c>
      <c r="B154" s="3" t="s">
        <v>631</v>
      </c>
    </row>
    <row r="155" spans="1:6" x14ac:dyDescent="0.25">
      <c r="A155" t="s">
        <v>207</v>
      </c>
      <c r="B155" s="3" t="s">
        <v>631</v>
      </c>
    </row>
    <row r="156" spans="1:6" x14ac:dyDescent="0.25">
      <c r="A156" t="s">
        <v>208</v>
      </c>
      <c r="C156" s="3" t="s">
        <v>631</v>
      </c>
    </row>
    <row r="157" spans="1:6" x14ac:dyDescent="0.25">
      <c r="A157" t="s">
        <v>209</v>
      </c>
      <c r="B157" s="3" t="s">
        <v>631</v>
      </c>
    </row>
    <row r="158" spans="1:6" x14ac:dyDescent="0.25">
      <c r="A158" t="s">
        <v>210</v>
      </c>
      <c r="B158" s="3" t="s">
        <v>631</v>
      </c>
    </row>
    <row r="159" spans="1:6" x14ac:dyDescent="0.25">
      <c r="A159" t="s">
        <v>211</v>
      </c>
      <c r="C159" s="3" t="s">
        <v>631</v>
      </c>
    </row>
    <row r="160" spans="1:6" x14ac:dyDescent="0.25">
      <c r="A160" t="s">
        <v>212</v>
      </c>
      <c r="C160" s="3" t="s">
        <v>631</v>
      </c>
    </row>
    <row r="161" spans="1:9" x14ac:dyDescent="0.25">
      <c r="A161" t="s">
        <v>213</v>
      </c>
      <c r="C161" s="3" t="s">
        <v>631</v>
      </c>
    </row>
    <row r="162" spans="1:9" x14ac:dyDescent="0.25">
      <c r="A162" t="s">
        <v>214</v>
      </c>
      <c r="F162" s="3" t="s">
        <v>631</v>
      </c>
    </row>
    <row r="163" spans="1:9" x14ac:dyDescent="0.25">
      <c r="A163" t="s">
        <v>215</v>
      </c>
      <c r="B163" s="3" t="s">
        <v>631</v>
      </c>
    </row>
    <row r="164" spans="1:9" x14ac:dyDescent="0.25">
      <c r="A164" t="s">
        <v>216</v>
      </c>
      <c r="B164" s="3" t="s">
        <v>631</v>
      </c>
    </row>
    <row r="165" spans="1:9" x14ac:dyDescent="0.25">
      <c r="A165" t="s">
        <v>217</v>
      </c>
      <c r="F165" s="3" t="s">
        <v>631</v>
      </c>
    </row>
    <row r="166" spans="1:9" x14ac:dyDescent="0.25">
      <c r="A166" t="s">
        <v>218</v>
      </c>
      <c r="C166" s="3" t="s">
        <v>631</v>
      </c>
    </row>
    <row r="167" spans="1:9" x14ac:dyDescent="0.25">
      <c r="A167" t="s">
        <v>219</v>
      </c>
      <c r="B167" s="3" t="s">
        <v>631</v>
      </c>
    </row>
    <row r="168" spans="1:9" x14ac:dyDescent="0.25">
      <c r="A168" t="s">
        <v>220</v>
      </c>
      <c r="C168" s="3" t="s">
        <v>631</v>
      </c>
    </row>
    <row r="169" spans="1:9" x14ac:dyDescent="0.25">
      <c r="A169" t="s">
        <v>221</v>
      </c>
      <c r="C169" s="3" t="s">
        <v>631</v>
      </c>
    </row>
    <row r="170" spans="1:9" x14ac:dyDescent="0.25">
      <c r="A170" t="s">
        <v>222</v>
      </c>
      <c r="C170" s="3" t="s">
        <v>631</v>
      </c>
    </row>
    <row r="171" spans="1:9" x14ac:dyDescent="0.25">
      <c r="A171" t="s">
        <v>223</v>
      </c>
      <c r="B171" s="3" t="s">
        <v>631</v>
      </c>
    </row>
    <row r="172" spans="1:9" x14ac:dyDescent="0.25">
      <c r="A172" t="s">
        <v>224</v>
      </c>
      <c r="C172" s="3" t="s">
        <v>631</v>
      </c>
    </row>
    <row r="173" spans="1:9" x14ac:dyDescent="0.25">
      <c r="A173" t="s">
        <v>225</v>
      </c>
      <c r="B173" s="3" t="s">
        <v>631</v>
      </c>
    </row>
    <row r="174" spans="1:9" x14ac:dyDescent="0.25">
      <c r="A174" t="s">
        <v>226</v>
      </c>
      <c r="I174" t="s">
        <v>644</v>
      </c>
    </row>
    <row r="175" spans="1:9" x14ac:dyDescent="0.25">
      <c r="A175" t="s">
        <v>227</v>
      </c>
      <c r="H175" s="3" t="s">
        <v>631</v>
      </c>
    </row>
    <row r="176" spans="1:9" x14ac:dyDescent="0.25">
      <c r="A176" t="s">
        <v>228</v>
      </c>
      <c r="F176" s="3" t="s">
        <v>631</v>
      </c>
    </row>
    <row r="177" spans="1:8" x14ac:dyDescent="0.25">
      <c r="A177" t="s">
        <v>229</v>
      </c>
      <c r="C177" s="3" t="s">
        <v>631</v>
      </c>
    </row>
    <row r="178" spans="1:8" x14ac:dyDescent="0.25">
      <c r="A178" t="s">
        <v>230</v>
      </c>
      <c r="C178" s="3" t="s">
        <v>631</v>
      </c>
      <c r="E178" s="3" t="s">
        <v>631</v>
      </c>
    </row>
    <row r="179" spans="1:8" x14ac:dyDescent="0.25">
      <c r="A179" t="s">
        <v>231</v>
      </c>
      <c r="B179" s="3" t="s">
        <v>631</v>
      </c>
    </row>
    <row r="180" spans="1:8" x14ac:dyDescent="0.25">
      <c r="A180" t="s">
        <v>232</v>
      </c>
      <c r="C180" s="3" t="s">
        <v>631</v>
      </c>
    </row>
    <row r="181" spans="1:8" x14ac:dyDescent="0.25">
      <c r="A181" t="s">
        <v>233</v>
      </c>
      <c r="B181" s="3" t="s">
        <v>631</v>
      </c>
    </row>
    <row r="182" spans="1:8" x14ac:dyDescent="0.25">
      <c r="A182" t="s">
        <v>234</v>
      </c>
      <c r="C182" s="3" t="s">
        <v>631</v>
      </c>
    </row>
    <row r="183" spans="1:8" x14ac:dyDescent="0.25">
      <c r="A183" t="s">
        <v>235</v>
      </c>
      <c r="C183" s="3" t="s">
        <v>631</v>
      </c>
    </row>
    <row r="184" spans="1:8" x14ac:dyDescent="0.25">
      <c r="A184" t="s">
        <v>236</v>
      </c>
      <c r="C184" s="3" t="s">
        <v>631</v>
      </c>
    </row>
    <row r="187" spans="1:8" x14ac:dyDescent="0.25">
      <c r="B187" s="3">
        <f>COUNTIF(B2:B184, "X")</f>
        <v>52</v>
      </c>
      <c r="C187" s="3">
        <f t="shared" ref="C187:H187" si="0">COUNTIF(C2:C184, "X")</f>
        <v>103</v>
      </c>
      <c r="D187" s="3">
        <f t="shared" si="0"/>
        <v>1</v>
      </c>
      <c r="E187" s="3">
        <f t="shared" si="0"/>
        <v>3</v>
      </c>
      <c r="F187" s="3">
        <f t="shared" si="0"/>
        <v>25</v>
      </c>
      <c r="G187" s="3">
        <f t="shared" si="0"/>
        <v>5</v>
      </c>
      <c r="H187" s="3">
        <f t="shared" si="0"/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sqref="A1:XFD1"/>
    </sheetView>
  </sheetViews>
  <sheetFormatPr defaultRowHeight="15" x14ac:dyDescent="0.25"/>
  <cols>
    <col min="1" max="1" width="20.42578125" customWidth="1"/>
    <col min="2" max="2" width="11.7109375" style="3" customWidth="1"/>
    <col min="3" max="3" width="13.5703125" style="3" customWidth="1"/>
  </cols>
  <sheetData>
    <row r="1" spans="1:3" s="5" customFormat="1" x14ac:dyDescent="0.25">
      <c r="A1" s="1" t="s">
        <v>0</v>
      </c>
      <c r="B1" s="5" t="s">
        <v>633</v>
      </c>
      <c r="C1" s="5" t="s">
        <v>628</v>
      </c>
    </row>
    <row r="2" spans="1:3" x14ac:dyDescent="0.25">
      <c r="A2" t="s">
        <v>414</v>
      </c>
      <c r="B2" s="3" t="s">
        <v>631</v>
      </c>
    </row>
    <row r="3" spans="1:3" x14ac:dyDescent="0.25">
      <c r="A3" t="s">
        <v>415</v>
      </c>
      <c r="B3" s="3" t="s">
        <v>631</v>
      </c>
    </row>
    <row r="4" spans="1:3" x14ac:dyDescent="0.25">
      <c r="A4" t="s">
        <v>416</v>
      </c>
      <c r="B4" s="3" t="s">
        <v>631</v>
      </c>
    </row>
    <row r="5" spans="1:3" x14ac:dyDescent="0.25">
      <c r="A5" t="s">
        <v>417</v>
      </c>
      <c r="B5" s="3" t="s">
        <v>631</v>
      </c>
    </row>
    <row r="6" spans="1:3" x14ac:dyDescent="0.25">
      <c r="A6" t="s">
        <v>418</v>
      </c>
      <c r="B6" s="3" t="s">
        <v>631</v>
      </c>
    </row>
    <row r="7" spans="1:3" x14ac:dyDescent="0.25">
      <c r="A7" t="s">
        <v>419</v>
      </c>
      <c r="B7" s="3" t="s">
        <v>631</v>
      </c>
    </row>
    <row r="8" spans="1:3" x14ac:dyDescent="0.25">
      <c r="A8" t="s">
        <v>420</v>
      </c>
      <c r="B8" s="3" t="s">
        <v>631</v>
      </c>
    </row>
    <row r="9" spans="1:3" x14ac:dyDescent="0.25">
      <c r="A9" t="s">
        <v>421</v>
      </c>
      <c r="B9" s="3" t="s">
        <v>631</v>
      </c>
    </row>
    <row r="10" spans="1:3" x14ac:dyDescent="0.25">
      <c r="A10" t="s">
        <v>422</v>
      </c>
      <c r="B10" s="3" t="s">
        <v>631</v>
      </c>
    </row>
    <row r="11" spans="1:3" x14ac:dyDescent="0.25">
      <c r="A11" t="s">
        <v>423</v>
      </c>
      <c r="B11" s="3" t="s">
        <v>631</v>
      </c>
    </row>
    <row r="12" spans="1:3" x14ac:dyDescent="0.25">
      <c r="A12" t="s">
        <v>424</v>
      </c>
      <c r="B12" s="3" t="s">
        <v>631</v>
      </c>
    </row>
    <row r="13" spans="1:3" x14ac:dyDescent="0.25">
      <c r="A13" t="s">
        <v>425</v>
      </c>
      <c r="B13" s="3" t="s">
        <v>631</v>
      </c>
    </row>
    <row r="14" spans="1:3" x14ac:dyDescent="0.25">
      <c r="A14" t="s">
        <v>426</v>
      </c>
      <c r="B14" s="3" t="s">
        <v>631</v>
      </c>
    </row>
    <row r="15" spans="1:3" x14ac:dyDescent="0.25">
      <c r="A15" t="s">
        <v>427</v>
      </c>
      <c r="B15" s="3" t="s">
        <v>631</v>
      </c>
    </row>
    <row r="16" spans="1:3" x14ac:dyDescent="0.25">
      <c r="A16" t="s">
        <v>428</v>
      </c>
      <c r="B16" s="3" t="s">
        <v>631</v>
      </c>
    </row>
    <row r="17" spans="1:3" x14ac:dyDescent="0.25">
      <c r="A17" t="s">
        <v>429</v>
      </c>
      <c r="B17" s="3" t="s">
        <v>631</v>
      </c>
    </row>
    <row r="18" spans="1:3" x14ac:dyDescent="0.25">
      <c r="A18" t="s">
        <v>430</v>
      </c>
      <c r="B18" s="3" t="s">
        <v>631</v>
      </c>
    </row>
    <row r="19" spans="1:3" x14ac:dyDescent="0.25">
      <c r="A19" t="s">
        <v>431</v>
      </c>
      <c r="B19" s="3" t="s">
        <v>631</v>
      </c>
    </row>
    <row r="20" spans="1:3" x14ac:dyDescent="0.25">
      <c r="A20" t="s">
        <v>432</v>
      </c>
      <c r="B20" s="3" t="s">
        <v>631</v>
      </c>
      <c r="C20" s="3" t="s">
        <v>631</v>
      </c>
    </row>
    <row r="21" spans="1:3" x14ac:dyDescent="0.25">
      <c r="A21" t="s">
        <v>433</v>
      </c>
      <c r="B21" s="3" t="s">
        <v>631</v>
      </c>
    </row>
    <row r="22" spans="1:3" x14ac:dyDescent="0.25">
      <c r="A22" t="s">
        <v>434</v>
      </c>
      <c r="B22" s="3" t="s">
        <v>631</v>
      </c>
    </row>
    <row r="23" spans="1:3" x14ac:dyDescent="0.25">
      <c r="A23" t="s">
        <v>435</v>
      </c>
      <c r="B23" s="3" t="s">
        <v>631</v>
      </c>
    </row>
    <row r="24" spans="1:3" x14ac:dyDescent="0.25">
      <c r="A24" t="s">
        <v>436</v>
      </c>
      <c r="B24" s="3" t="s">
        <v>631</v>
      </c>
    </row>
    <row r="25" spans="1:3" x14ac:dyDescent="0.25">
      <c r="A25" t="s">
        <v>437</v>
      </c>
      <c r="B25" s="3" t="s">
        <v>631</v>
      </c>
    </row>
    <row r="26" spans="1:3" x14ac:dyDescent="0.25">
      <c r="A26" t="s">
        <v>438</v>
      </c>
      <c r="B26" s="3" t="s">
        <v>631</v>
      </c>
    </row>
    <row r="27" spans="1:3" x14ac:dyDescent="0.25">
      <c r="A27" t="s">
        <v>439</v>
      </c>
      <c r="B27" s="3" t="s">
        <v>631</v>
      </c>
    </row>
    <row r="28" spans="1:3" x14ac:dyDescent="0.25">
      <c r="A28" t="s">
        <v>440</v>
      </c>
      <c r="B28" s="3" t="s">
        <v>631</v>
      </c>
    </row>
    <row r="29" spans="1:3" x14ac:dyDescent="0.25">
      <c r="A29" t="s">
        <v>441</v>
      </c>
      <c r="B29" s="3" t="s">
        <v>631</v>
      </c>
    </row>
    <row r="30" spans="1:3" x14ac:dyDescent="0.25">
      <c r="A30" t="s">
        <v>442</v>
      </c>
      <c r="B30" s="3" t="s">
        <v>631</v>
      </c>
    </row>
    <row r="31" spans="1:3" x14ac:dyDescent="0.25">
      <c r="A31" t="s">
        <v>443</v>
      </c>
      <c r="B31" s="3" t="s">
        <v>631</v>
      </c>
    </row>
    <row r="32" spans="1:3" x14ac:dyDescent="0.25">
      <c r="A32" t="s">
        <v>444</v>
      </c>
      <c r="B32" s="3" t="s">
        <v>631</v>
      </c>
    </row>
    <row r="33" spans="1:2" x14ac:dyDescent="0.25">
      <c r="A33" t="s">
        <v>445</v>
      </c>
      <c r="B33" s="3" t="s">
        <v>631</v>
      </c>
    </row>
    <row r="34" spans="1:2" x14ac:dyDescent="0.25">
      <c r="A34" t="s">
        <v>446</v>
      </c>
      <c r="B34" s="3" t="s">
        <v>631</v>
      </c>
    </row>
    <row r="35" spans="1:2" x14ac:dyDescent="0.25">
      <c r="A35" t="s">
        <v>447</v>
      </c>
      <c r="B35" s="3" t="s">
        <v>631</v>
      </c>
    </row>
    <row r="36" spans="1:2" x14ac:dyDescent="0.25">
      <c r="A36" t="s">
        <v>448</v>
      </c>
      <c r="B36" s="3" t="s">
        <v>631</v>
      </c>
    </row>
    <row r="37" spans="1:2" x14ac:dyDescent="0.25">
      <c r="A37" t="s">
        <v>449</v>
      </c>
      <c r="B37" s="3" t="s">
        <v>631</v>
      </c>
    </row>
    <row r="38" spans="1:2" x14ac:dyDescent="0.25">
      <c r="A38" t="s">
        <v>450</v>
      </c>
      <c r="B38" s="3" t="s">
        <v>631</v>
      </c>
    </row>
    <row r="39" spans="1:2" x14ac:dyDescent="0.25">
      <c r="A39" t="s">
        <v>451</v>
      </c>
      <c r="B39" s="3" t="s">
        <v>631</v>
      </c>
    </row>
    <row r="40" spans="1:2" x14ac:dyDescent="0.25">
      <c r="A40" t="s">
        <v>452</v>
      </c>
      <c r="B40" s="3" t="s">
        <v>631</v>
      </c>
    </row>
    <row r="41" spans="1:2" x14ac:dyDescent="0.25">
      <c r="A41" t="s">
        <v>453</v>
      </c>
      <c r="B41" s="3" t="s">
        <v>631</v>
      </c>
    </row>
    <row r="42" spans="1:2" x14ac:dyDescent="0.25">
      <c r="A42" t="s">
        <v>454</v>
      </c>
      <c r="B42" s="3" t="s">
        <v>631</v>
      </c>
    </row>
    <row r="43" spans="1:2" x14ac:dyDescent="0.25">
      <c r="A43" t="s">
        <v>455</v>
      </c>
      <c r="B43" s="3" t="s">
        <v>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pane ySplit="1" topLeftCell="A83" activePane="bottomLeft" state="frozen"/>
      <selection pane="bottomLeft" activeCell="H161" sqref="H161"/>
    </sheetView>
  </sheetViews>
  <sheetFormatPr defaultRowHeight="15" x14ac:dyDescent="0.25"/>
  <cols>
    <col min="1" max="1" width="23.7109375" customWidth="1"/>
    <col min="2" max="2" width="12.42578125" style="3" customWidth="1"/>
    <col min="3" max="5" width="15.28515625" style="3" customWidth="1"/>
    <col min="6" max="6" width="14.85546875" style="3" customWidth="1"/>
    <col min="7" max="8" width="18" style="3" customWidth="1"/>
    <col min="9" max="9" width="47.42578125" customWidth="1"/>
  </cols>
  <sheetData>
    <row r="1" spans="1:9" s="5" customFormat="1" x14ac:dyDescent="0.25">
      <c r="A1" s="1" t="s">
        <v>0</v>
      </c>
      <c r="B1" s="5" t="s">
        <v>633</v>
      </c>
      <c r="C1" s="5" t="s">
        <v>628</v>
      </c>
      <c r="D1" s="5" t="s">
        <v>649</v>
      </c>
      <c r="E1" s="5" t="s">
        <v>634</v>
      </c>
      <c r="F1" s="5" t="s">
        <v>647</v>
      </c>
      <c r="G1" s="5" t="s">
        <v>648</v>
      </c>
      <c r="H1" s="5" t="s">
        <v>637</v>
      </c>
      <c r="I1" s="5" t="s">
        <v>623</v>
      </c>
    </row>
    <row r="2" spans="1:9" x14ac:dyDescent="0.25">
      <c r="A2" t="s">
        <v>456</v>
      </c>
      <c r="C2" s="3" t="s">
        <v>631</v>
      </c>
    </row>
    <row r="3" spans="1:9" x14ac:dyDescent="0.25">
      <c r="A3" t="s">
        <v>457</v>
      </c>
      <c r="F3" s="3" t="s">
        <v>631</v>
      </c>
      <c r="G3" s="3" t="s">
        <v>631</v>
      </c>
    </row>
    <row r="4" spans="1:9" x14ac:dyDescent="0.25">
      <c r="A4" t="s">
        <v>458</v>
      </c>
      <c r="B4" s="3" t="s">
        <v>631</v>
      </c>
    </row>
    <row r="5" spans="1:9" x14ac:dyDescent="0.25">
      <c r="A5" t="s">
        <v>459</v>
      </c>
      <c r="C5" s="3" t="s">
        <v>631</v>
      </c>
    </row>
    <row r="6" spans="1:9" x14ac:dyDescent="0.25">
      <c r="A6" t="s">
        <v>460</v>
      </c>
      <c r="C6" s="3" t="s">
        <v>631</v>
      </c>
    </row>
    <row r="7" spans="1:9" x14ac:dyDescent="0.25">
      <c r="A7" t="s">
        <v>461</v>
      </c>
      <c r="C7" s="3" t="s">
        <v>631</v>
      </c>
    </row>
    <row r="8" spans="1:9" x14ac:dyDescent="0.25">
      <c r="A8" t="s">
        <v>462</v>
      </c>
      <c r="B8" s="3" t="s">
        <v>631</v>
      </c>
    </row>
    <row r="9" spans="1:9" x14ac:dyDescent="0.25">
      <c r="A9" t="s">
        <v>463</v>
      </c>
      <c r="D9" s="3" t="s">
        <v>631</v>
      </c>
    </row>
    <row r="10" spans="1:9" x14ac:dyDescent="0.25">
      <c r="A10" t="s">
        <v>464</v>
      </c>
      <c r="D10" s="3" t="s">
        <v>631</v>
      </c>
      <c r="I10" t="s">
        <v>650</v>
      </c>
    </row>
    <row r="11" spans="1:9" x14ac:dyDescent="0.25">
      <c r="A11" t="s">
        <v>465</v>
      </c>
      <c r="C11" s="3" t="s">
        <v>631</v>
      </c>
    </row>
    <row r="12" spans="1:9" x14ac:dyDescent="0.25">
      <c r="A12" t="s">
        <v>466</v>
      </c>
      <c r="F12" s="3" t="s">
        <v>631</v>
      </c>
      <c r="G12" s="3" t="s">
        <v>631</v>
      </c>
    </row>
    <row r="13" spans="1:9" x14ac:dyDescent="0.25">
      <c r="A13" t="s">
        <v>467</v>
      </c>
      <c r="C13" s="3" t="s">
        <v>631</v>
      </c>
    </row>
    <row r="14" spans="1:9" x14ac:dyDescent="0.25">
      <c r="A14" t="s">
        <v>468</v>
      </c>
      <c r="F14" s="3" t="s">
        <v>631</v>
      </c>
      <c r="G14" s="3" t="s">
        <v>631</v>
      </c>
    </row>
    <row r="15" spans="1:9" x14ac:dyDescent="0.25">
      <c r="A15" t="s">
        <v>469</v>
      </c>
      <c r="D15" s="3" t="s">
        <v>631</v>
      </c>
    </row>
    <row r="16" spans="1:9" x14ac:dyDescent="0.25">
      <c r="A16" t="s">
        <v>470</v>
      </c>
      <c r="D16" s="3" t="s">
        <v>631</v>
      </c>
    </row>
    <row r="17" spans="1:9" x14ac:dyDescent="0.25">
      <c r="A17" t="s">
        <v>471</v>
      </c>
      <c r="D17" s="3" t="s">
        <v>631</v>
      </c>
      <c r="I17" t="s">
        <v>651</v>
      </c>
    </row>
    <row r="18" spans="1:9" x14ac:dyDescent="0.25">
      <c r="A18" t="s">
        <v>472</v>
      </c>
      <c r="C18" s="3" t="s">
        <v>631</v>
      </c>
    </row>
    <row r="19" spans="1:9" x14ac:dyDescent="0.25">
      <c r="A19" t="s">
        <v>473</v>
      </c>
      <c r="C19" s="3" t="s">
        <v>631</v>
      </c>
    </row>
    <row r="20" spans="1:9" x14ac:dyDescent="0.25">
      <c r="A20" t="s">
        <v>474</v>
      </c>
      <c r="F20" s="3" t="s">
        <v>631</v>
      </c>
      <c r="G20" s="3" t="s">
        <v>631</v>
      </c>
    </row>
    <row r="21" spans="1:9" x14ac:dyDescent="0.25">
      <c r="A21" t="s">
        <v>475</v>
      </c>
      <c r="F21" s="3" t="s">
        <v>631</v>
      </c>
      <c r="G21" s="3" t="s">
        <v>631</v>
      </c>
    </row>
    <row r="22" spans="1:9" x14ac:dyDescent="0.25">
      <c r="A22" t="s">
        <v>476</v>
      </c>
      <c r="C22" s="3" t="s">
        <v>631</v>
      </c>
    </row>
    <row r="23" spans="1:9" x14ac:dyDescent="0.25">
      <c r="A23" t="s">
        <v>477</v>
      </c>
      <c r="F23" s="3" t="s">
        <v>631</v>
      </c>
      <c r="G23" s="3" t="s">
        <v>631</v>
      </c>
    </row>
    <row r="24" spans="1:9" x14ac:dyDescent="0.25">
      <c r="A24" t="s">
        <v>478</v>
      </c>
      <c r="E24" s="3" t="s">
        <v>631</v>
      </c>
    </row>
    <row r="25" spans="1:9" x14ac:dyDescent="0.25">
      <c r="A25" t="s">
        <v>479</v>
      </c>
      <c r="B25" s="3" t="s">
        <v>631</v>
      </c>
    </row>
    <row r="26" spans="1:9" x14ac:dyDescent="0.25">
      <c r="A26" t="s">
        <v>480</v>
      </c>
      <c r="B26" s="3" t="s">
        <v>631</v>
      </c>
    </row>
    <row r="27" spans="1:9" x14ac:dyDescent="0.25">
      <c r="A27" t="s">
        <v>481</v>
      </c>
      <c r="F27" s="3" t="s">
        <v>631</v>
      </c>
      <c r="G27" s="3" t="s">
        <v>631</v>
      </c>
    </row>
    <row r="28" spans="1:9" x14ac:dyDescent="0.25">
      <c r="A28" t="s">
        <v>482</v>
      </c>
      <c r="B28" s="3" t="s">
        <v>631</v>
      </c>
    </row>
    <row r="29" spans="1:9" x14ac:dyDescent="0.25">
      <c r="A29" t="s">
        <v>483</v>
      </c>
      <c r="D29" s="3" t="s">
        <v>631</v>
      </c>
    </row>
    <row r="30" spans="1:9" x14ac:dyDescent="0.25">
      <c r="A30" t="s">
        <v>484</v>
      </c>
      <c r="B30" s="3" t="s">
        <v>631</v>
      </c>
    </row>
    <row r="31" spans="1:9" x14ac:dyDescent="0.25">
      <c r="A31" t="s">
        <v>485</v>
      </c>
      <c r="D31" s="3" t="s">
        <v>631</v>
      </c>
    </row>
    <row r="32" spans="1:9" x14ac:dyDescent="0.25">
      <c r="A32" t="s">
        <v>486</v>
      </c>
      <c r="C32" s="3" t="s">
        <v>631</v>
      </c>
    </row>
    <row r="33" spans="1:9" x14ac:dyDescent="0.25">
      <c r="A33" t="s">
        <v>487</v>
      </c>
      <c r="D33" s="3" t="s">
        <v>631</v>
      </c>
    </row>
    <row r="34" spans="1:9" x14ac:dyDescent="0.25">
      <c r="A34" t="s">
        <v>488</v>
      </c>
      <c r="D34" s="3" t="s">
        <v>631</v>
      </c>
    </row>
    <row r="35" spans="1:9" x14ac:dyDescent="0.25">
      <c r="A35" t="s">
        <v>489</v>
      </c>
      <c r="F35" s="3" t="s">
        <v>631</v>
      </c>
      <c r="G35" s="3" t="s">
        <v>631</v>
      </c>
    </row>
    <row r="36" spans="1:9" x14ac:dyDescent="0.25">
      <c r="A36" t="s">
        <v>490</v>
      </c>
      <c r="D36" s="3" t="s">
        <v>631</v>
      </c>
    </row>
    <row r="37" spans="1:9" x14ac:dyDescent="0.25">
      <c r="A37" t="s">
        <v>491</v>
      </c>
      <c r="C37" s="3" t="s">
        <v>631</v>
      </c>
    </row>
    <row r="38" spans="1:9" x14ac:dyDescent="0.25">
      <c r="A38" t="s">
        <v>492</v>
      </c>
      <c r="B38" s="3" t="s">
        <v>631</v>
      </c>
    </row>
    <row r="39" spans="1:9" x14ac:dyDescent="0.25">
      <c r="A39" t="s">
        <v>493</v>
      </c>
      <c r="F39" s="3" t="s">
        <v>631</v>
      </c>
      <c r="G39" s="3" t="s">
        <v>631</v>
      </c>
    </row>
    <row r="40" spans="1:9" x14ac:dyDescent="0.25">
      <c r="A40" t="s">
        <v>494</v>
      </c>
      <c r="B40" s="3" t="s">
        <v>631</v>
      </c>
    </row>
    <row r="41" spans="1:9" x14ac:dyDescent="0.25">
      <c r="A41" t="s">
        <v>495</v>
      </c>
      <c r="C41" s="3" t="s">
        <v>631</v>
      </c>
    </row>
    <row r="42" spans="1:9" x14ac:dyDescent="0.25">
      <c r="A42" t="s">
        <v>496</v>
      </c>
      <c r="F42" s="3" t="s">
        <v>631</v>
      </c>
      <c r="G42" s="3" t="s">
        <v>631</v>
      </c>
    </row>
    <row r="43" spans="1:9" x14ac:dyDescent="0.25">
      <c r="A43" t="s">
        <v>497</v>
      </c>
      <c r="C43" s="3" t="s">
        <v>631</v>
      </c>
    </row>
    <row r="44" spans="1:9" x14ac:dyDescent="0.25">
      <c r="A44" t="s">
        <v>498</v>
      </c>
      <c r="F44" s="3" t="s">
        <v>631</v>
      </c>
      <c r="G44" s="3" t="s">
        <v>631</v>
      </c>
    </row>
    <row r="45" spans="1:9" x14ac:dyDescent="0.25">
      <c r="A45" t="s">
        <v>499</v>
      </c>
      <c r="F45" s="3" t="s">
        <v>654</v>
      </c>
      <c r="I45" t="s">
        <v>653</v>
      </c>
    </row>
    <row r="46" spans="1:9" x14ac:dyDescent="0.25">
      <c r="A46" t="s">
        <v>500</v>
      </c>
      <c r="C46" s="3" t="s">
        <v>631</v>
      </c>
    </row>
    <row r="47" spans="1:9" x14ac:dyDescent="0.25">
      <c r="A47" t="s">
        <v>501</v>
      </c>
      <c r="C47" s="3" t="s">
        <v>631</v>
      </c>
    </row>
    <row r="48" spans="1:9" x14ac:dyDescent="0.25">
      <c r="A48" t="s">
        <v>502</v>
      </c>
      <c r="D48" s="3" t="s">
        <v>631</v>
      </c>
    </row>
    <row r="49" spans="1:9" x14ac:dyDescent="0.25">
      <c r="A49" t="s">
        <v>503</v>
      </c>
      <c r="F49" s="3" t="s">
        <v>631</v>
      </c>
      <c r="G49" s="3" t="s">
        <v>631</v>
      </c>
    </row>
    <row r="50" spans="1:9" x14ac:dyDescent="0.25">
      <c r="A50" t="s">
        <v>504</v>
      </c>
      <c r="D50" s="3" t="s">
        <v>631</v>
      </c>
    </row>
    <row r="51" spans="1:9" x14ac:dyDescent="0.25">
      <c r="A51" t="s">
        <v>505</v>
      </c>
      <c r="D51" s="3" t="s">
        <v>631</v>
      </c>
    </row>
    <row r="52" spans="1:9" x14ac:dyDescent="0.25">
      <c r="A52" t="s">
        <v>506</v>
      </c>
      <c r="D52" s="3" t="s">
        <v>631</v>
      </c>
      <c r="I52" t="s">
        <v>652</v>
      </c>
    </row>
    <row r="53" spans="1:9" x14ac:dyDescent="0.25">
      <c r="A53" t="s">
        <v>507</v>
      </c>
      <c r="C53" s="3" t="s">
        <v>631</v>
      </c>
    </row>
    <row r="54" spans="1:9" x14ac:dyDescent="0.25">
      <c r="A54" t="s">
        <v>508</v>
      </c>
      <c r="D54" s="3" t="s">
        <v>631</v>
      </c>
      <c r="I54" t="s">
        <v>652</v>
      </c>
    </row>
    <row r="55" spans="1:9" x14ac:dyDescent="0.25">
      <c r="A55" t="s">
        <v>509</v>
      </c>
      <c r="D55" s="3" t="s">
        <v>631</v>
      </c>
    </row>
    <row r="56" spans="1:9" x14ac:dyDescent="0.25">
      <c r="A56" t="s">
        <v>510</v>
      </c>
      <c r="D56" s="3" t="s">
        <v>631</v>
      </c>
    </row>
    <row r="57" spans="1:9" x14ac:dyDescent="0.25">
      <c r="A57" t="s">
        <v>511</v>
      </c>
      <c r="C57" s="3" t="s">
        <v>631</v>
      </c>
    </row>
    <row r="58" spans="1:9" x14ac:dyDescent="0.25">
      <c r="A58" t="s">
        <v>512</v>
      </c>
      <c r="F58" s="3" t="s">
        <v>631</v>
      </c>
      <c r="G58" s="3" t="s">
        <v>631</v>
      </c>
    </row>
    <row r="59" spans="1:9" x14ac:dyDescent="0.25">
      <c r="A59" t="s">
        <v>513</v>
      </c>
      <c r="I59" t="s">
        <v>653</v>
      </c>
    </row>
    <row r="60" spans="1:9" x14ac:dyDescent="0.25">
      <c r="A60" t="s">
        <v>514</v>
      </c>
      <c r="E60" s="3" t="s">
        <v>631</v>
      </c>
    </row>
    <row r="61" spans="1:9" x14ac:dyDescent="0.25">
      <c r="A61" t="s">
        <v>515</v>
      </c>
      <c r="C61" s="3" t="s">
        <v>631</v>
      </c>
    </row>
    <row r="62" spans="1:9" x14ac:dyDescent="0.25">
      <c r="A62" t="s">
        <v>516</v>
      </c>
      <c r="F62" s="3" t="s">
        <v>631</v>
      </c>
      <c r="G62" s="3" t="s">
        <v>631</v>
      </c>
    </row>
    <row r="63" spans="1:9" x14ac:dyDescent="0.25">
      <c r="A63" t="s">
        <v>517</v>
      </c>
      <c r="C63" s="3" t="s">
        <v>631</v>
      </c>
    </row>
    <row r="64" spans="1:9" x14ac:dyDescent="0.25">
      <c r="A64" t="s">
        <v>518</v>
      </c>
      <c r="D64" s="3" t="s">
        <v>631</v>
      </c>
    </row>
    <row r="65" spans="1:9" x14ac:dyDescent="0.25">
      <c r="A65" t="s">
        <v>519</v>
      </c>
      <c r="C65" s="3" t="s">
        <v>631</v>
      </c>
    </row>
    <row r="66" spans="1:9" x14ac:dyDescent="0.25">
      <c r="A66" t="s">
        <v>520</v>
      </c>
      <c r="H66" s="3" t="s">
        <v>631</v>
      </c>
    </row>
    <row r="67" spans="1:9" x14ac:dyDescent="0.25">
      <c r="A67" t="s">
        <v>521</v>
      </c>
      <c r="B67" s="3" t="s">
        <v>631</v>
      </c>
    </row>
    <row r="68" spans="1:9" x14ac:dyDescent="0.25">
      <c r="A68" t="s">
        <v>522</v>
      </c>
      <c r="D68" s="3" t="s">
        <v>631</v>
      </c>
    </row>
    <row r="69" spans="1:9" x14ac:dyDescent="0.25">
      <c r="A69" t="s">
        <v>523</v>
      </c>
      <c r="H69" s="3" t="s">
        <v>631</v>
      </c>
    </row>
    <row r="70" spans="1:9" x14ac:dyDescent="0.25">
      <c r="A70" t="s">
        <v>524</v>
      </c>
      <c r="F70" s="3" t="s">
        <v>631</v>
      </c>
      <c r="G70" s="3" t="s">
        <v>631</v>
      </c>
    </row>
    <row r="71" spans="1:9" x14ac:dyDescent="0.25">
      <c r="A71" t="s">
        <v>525</v>
      </c>
      <c r="C71" s="3" t="s">
        <v>631</v>
      </c>
    </row>
    <row r="72" spans="1:9" x14ac:dyDescent="0.25">
      <c r="A72" t="s">
        <v>526</v>
      </c>
      <c r="D72" s="3" t="s">
        <v>631</v>
      </c>
      <c r="I72" t="s">
        <v>652</v>
      </c>
    </row>
    <row r="73" spans="1:9" x14ac:dyDescent="0.25">
      <c r="A73" t="s">
        <v>527</v>
      </c>
      <c r="D73" s="3" t="s">
        <v>631</v>
      </c>
    </row>
    <row r="74" spans="1:9" x14ac:dyDescent="0.25">
      <c r="A74" t="s">
        <v>528</v>
      </c>
      <c r="C74" s="3" t="s">
        <v>631</v>
      </c>
    </row>
    <row r="75" spans="1:9" x14ac:dyDescent="0.25">
      <c r="A75" t="s">
        <v>529</v>
      </c>
      <c r="E75" s="3" t="s">
        <v>631</v>
      </c>
    </row>
    <row r="76" spans="1:9" x14ac:dyDescent="0.25">
      <c r="A76" t="s">
        <v>530</v>
      </c>
      <c r="C76" s="3" t="s">
        <v>631</v>
      </c>
    </row>
    <row r="77" spans="1:9" x14ac:dyDescent="0.25">
      <c r="A77" t="s">
        <v>531</v>
      </c>
      <c r="C77" s="3" t="s">
        <v>631</v>
      </c>
    </row>
    <row r="78" spans="1:9" x14ac:dyDescent="0.25">
      <c r="A78" t="s">
        <v>532</v>
      </c>
      <c r="C78" s="3" t="s">
        <v>631</v>
      </c>
    </row>
    <row r="79" spans="1:9" x14ac:dyDescent="0.25">
      <c r="A79" t="s">
        <v>533</v>
      </c>
      <c r="C79" s="3" t="s">
        <v>631</v>
      </c>
    </row>
    <row r="80" spans="1:9" x14ac:dyDescent="0.25">
      <c r="A80" t="s">
        <v>534</v>
      </c>
      <c r="F80" s="3" t="s">
        <v>631</v>
      </c>
      <c r="G80" s="3" t="s">
        <v>631</v>
      </c>
    </row>
    <row r="81" spans="1:9" x14ac:dyDescent="0.25">
      <c r="A81" t="s">
        <v>535</v>
      </c>
      <c r="H81" s="3" t="s">
        <v>631</v>
      </c>
    </row>
    <row r="82" spans="1:9" x14ac:dyDescent="0.25">
      <c r="A82" t="s">
        <v>536</v>
      </c>
      <c r="D82" s="3" t="s">
        <v>631</v>
      </c>
    </row>
    <row r="83" spans="1:9" x14ac:dyDescent="0.25">
      <c r="A83" t="s">
        <v>537</v>
      </c>
      <c r="C83" s="3" t="s">
        <v>631</v>
      </c>
    </row>
    <row r="84" spans="1:9" x14ac:dyDescent="0.25">
      <c r="A84" t="s">
        <v>538</v>
      </c>
      <c r="D84" s="3" t="s">
        <v>631</v>
      </c>
      <c r="I84" t="s">
        <v>652</v>
      </c>
    </row>
    <row r="85" spans="1:9" x14ac:dyDescent="0.25">
      <c r="A85" t="s">
        <v>539</v>
      </c>
      <c r="D85" s="3" t="s">
        <v>631</v>
      </c>
    </row>
    <row r="86" spans="1:9" x14ac:dyDescent="0.25">
      <c r="A86" t="s">
        <v>540</v>
      </c>
      <c r="D86" s="3" t="s">
        <v>631</v>
      </c>
      <c r="I86" t="s">
        <v>652</v>
      </c>
    </row>
    <row r="87" spans="1:9" x14ac:dyDescent="0.25">
      <c r="A87" t="s">
        <v>541</v>
      </c>
      <c r="B87" s="3" t="s">
        <v>631</v>
      </c>
    </row>
    <row r="88" spans="1:9" x14ac:dyDescent="0.25">
      <c r="A88" t="s">
        <v>542</v>
      </c>
      <c r="D88" s="3" t="s">
        <v>631</v>
      </c>
    </row>
    <row r="89" spans="1:9" x14ac:dyDescent="0.25">
      <c r="A89" t="s">
        <v>543</v>
      </c>
      <c r="D89" s="3" t="s">
        <v>631</v>
      </c>
    </row>
    <row r="90" spans="1:9" x14ac:dyDescent="0.25">
      <c r="A90" t="s">
        <v>544</v>
      </c>
      <c r="C90" s="3" t="s">
        <v>631</v>
      </c>
    </row>
    <row r="91" spans="1:9" x14ac:dyDescent="0.25">
      <c r="A91" t="s">
        <v>545</v>
      </c>
      <c r="B91" s="3" t="s">
        <v>631</v>
      </c>
    </row>
    <row r="92" spans="1:9" x14ac:dyDescent="0.25">
      <c r="A92" t="s">
        <v>546</v>
      </c>
      <c r="D92" s="3" t="s">
        <v>631</v>
      </c>
    </row>
    <row r="93" spans="1:9" x14ac:dyDescent="0.25">
      <c r="A93" t="s">
        <v>547</v>
      </c>
      <c r="D93" s="3" t="s">
        <v>631</v>
      </c>
    </row>
    <row r="94" spans="1:9" x14ac:dyDescent="0.25">
      <c r="A94" t="s">
        <v>548</v>
      </c>
      <c r="C94" s="3" t="s">
        <v>631</v>
      </c>
    </row>
    <row r="95" spans="1:9" x14ac:dyDescent="0.25">
      <c r="A95" t="s">
        <v>549</v>
      </c>
      <c r="D95" s="3" t="s">
        <v>631</v>
      </c>
    </row>
    <row r="96" spans="1:9" x14ac:dyDescent="0.25">
      <c r="A96" t="s">
        <v>550</v>
      </c>
      <c r="D96" s="3" t="s">
        <v>631</v>
      </c>
    </row>
    <row r="97" spans="1:8" x14ac:dyDescent="0.25">
      <c r="A97" t="s">
        <v>551</v>
      </c>
      <c r="D97" s="3" t="s">
        <v>631</v>
      </c>
    </row>
    <row r="98" spans="1:8" x14ac:dyDescent="0.25">
      <c r="A98" t="s">
        <v>552</v>
      </c>
      <c r="F98" s="3" t="s">
        <v>631</v>
      </c>
      <c r="G98" s="3" t="s">
        <v>631</v>
      </c>
    </row>
    <row r="99" spans="1:8" x14ac:dyDescent="0.25">
      <c r="A99" t="s">
        <v>553</v>
      </c>
      <c r="D99" s="3" t="s">
        <v>631</v>
      </c>
    </row>
    <row r="100" spans="1:8" x14ac:dyDescent="0.25">
      <c r="A100" t="s">
        <v>554</v>
      </c>
      <c r="D100" s="3" t="s">
        <v>631</v>
      </c>
    </row>
    <row r="101" spans="1:8" x14ac:dyDescent="0.25">
      <c r="A101" t="s">
        <v>555</v>
      </c>
      <c r="H101" s="3" t="s">
        <v>631</v>
      </c>
    </row>
    <row r="102" spans="1:8" x14ac:dyDescent="0.25">
      <c r="A102" t="s">
        <v>556</v>
      </c>
      <c r="C102" s="3" t="s">
        <v>631</v>
      </c>
    </row>
    <row r="103" spans="1:8" x14ac:dyDescent="0.25">
      <c r="A103" t="s">
        <v>557</v>
      </c>
      <c r="D103" s="3" t="s">
        <v>631</v>
      </c>
    </row>
    <row r="104" spans="1:8" x14ac:dyDescent="0.25">
      <c r="A104" t="s">
        <v>558</v>
      </c>
      <c r="D104" s="3" t="s">
        <v>631</v>
      </c>
    </row>
    <row r="105" spans="1:8" x14ac:dyDescent="0.25">
      <c r="A105" t="s">
        <v>559</v>
      </c>
      <c r="D105" s="3" t="s">
        <v>631</v>
      </c>
    </row>
    <row r="106" spans="1:8" x14ac:dyDescent="0.25">
      <c r="A106" t="s">
        <v>560</v>
      </c>
      <c r="D106" s="3" t="s">
        <v>631</v>
      </c>
    </row>
    <row r="107" spans="1:8" x14ac:dyDescent="0.25">
      <c r="A107" t="s">
        <v>561</v>
      </c>
      <c r="H107" s="3" t="s">
        <v>631</v>
      </c>
    </row>
    <row r="108" spans="1:8" x14ac:dyDescent="0.25">
      <c r="A108" t="s">
        <v>562</v>
      </c>
      <c r="C108" s="3" t="s">
        <v>631</v>
      </c>
    </row>
    <row r="109" spans="1:8" x14ac:dyDescent="0.25">
      <c r="A109" t="s">
        <v>563</v>
      </c>
      <c r="B109" s="3" t="s">
        <v>631</v>
      </c>
    </row>
    <row r="110" spans="1:8" x14ac:dyDescent="0.25">
      <c r="A110" t="s">
        <v>564</v>
      </c>
      <c r="B110" s="3" t="s">
        <v>631</v>
      </c>
    </row>
    <row r="111" spans="1:8" x14ac:dyDescent="0.25">
      <c r="A111" t="s">
        <v>565</v>
      </c>
      <c r="B111" s="3" t="s">
        <v>631</v>
      </c>
    </row>
    <row r="112" spans="1:8" x14ac:dyDescent="0.25">
      <c r="A112" t="s">
        <v>566</v>
      </c>
      <c r="H112" s="3" t="s">
        <v>631</v>
      </c>
    </row>
    <row r="113" spans="1:8" x14ac:dyDescent="0.25">
      <c r="A113" t="s">
        <v>567</v>
      </c>
      <c r="D113" s="3" t="s">
        <v>631</v>
      </c>
    </row>
    <row r="114" spans="1:8" x14ac:dyDescent="0.25">
      <c r="A114" t="s">
        <v>568</v>
      </c>
      <c r="H114" s="3" t="s">
        <v>631</v>
      </c>
    </row>
    <row r="115" spans="1:8" x14ac:dyDescent="0.25">
      <c r="A115" t="s">
        <v>569</v>
      </c>
      <c r="H115" s="3" t="s">
        <v>631</v>
      </c>
    </row>
    <row r="116" spans="1:8" x14ac:dyDescent="0.25">
      <c r="A116" t="s">
        <v>570</v>
      </c>
      <c r="C116" s="3" t="s">
        <v>631</v>
      </c>
    </row>
    <row r="117" spans="1:8" x14ac:dyDescent="0.25">
      <c r="A117" t="s">
        <v>571</v>
      </c>
      <c r="D117" s="3" t="s">
        <v>631</v>
      </c>
    </row>
    <row r="118" spans="1:8" x14ac:dyDescent="0.25">
      <c r="A118" t="s">
        <v>572</v>
      </c>
      <c r="F118" s="3" t="s">
        <v>631</v>
      </c>
      <c r="G118" s="3" t="s">
        <v>631</v>
      </c>
    </row>
    <row r="119" spans="1:8" x14ac:dyDescent="0.25">
      <c r="A119" t="s">
        <v>573</v>
      </c>
      <c r="F119" s="3" t="s">
        <v>631</v>
      </c>
      <c r="G119" s="3" t="s">
        <v>631</v>
      </c>
    </row>
    <row r="120" spans="1:8" x14ac:dyDescent="0.25">
      <c r="A120" t="s">
        <v>574</v>
      </c>
      <c r="B120" s="3" t="s">
        <v>631</v>
      </c>
    </row>
    <row r="121" spans="1:8" x14ac:dyDescent="0.25">
      <c r="A121" t="s">
        <v>575</v>
      </c>
      <c r="B121" s="3" t="s">
        <v>631</v>
      </c>
    </row>
    <row r="122" spans="1:8" x14ac:dyDescent="0.25">
      <c r="A122" t="s">
        <v>576</v>
      </c>
      <c r="C122" s="3" t="s">
        <v>631</v>
      </c>
    </row>
    <row r="123" spans="1:8" x14ac:dyDescent="0.25">
      <c r="A123" t="s">
        <v>577</v>
      </c>
      <c r="B123" s="3" t="s">
        <v>631</v>
      </c>
    </row>
    <row r="124" spans="1:8" x14ac:dyDescent="0.25">
      <c r="A124" t="s">
        <v>578</v>
      </c>
      <c r="F124" s="3" t="s">
        <v>631</v>
      </c>
      <c r="G124" s="3" t="s">
        <v>631</v>
      </c>
    </row>
    <row r="125" spans="1:8" x14ac:dyDescent="0.25">
      <c r="A125" t="s">
        <v>579</v>
      </c>
      <c r="B125" s="3" t="s">
        <v>631</v>
      </c>
    </row>
    <row r="126" spans="1:8" x14ac:dyDescent="0.25">
      <c r="A126" t="s">
        <v>580</v>
      </c>
      <c r="B126" s="3" t="s">
        <v>631</v>
      </c>
    </row>
    <row r="127" spans="1:8" x14ac:dyDescent="0.25">
      <c r="A127" t="s">
        <v>581</v>
      </c>
      <c r="D127" s="3" t="s">
        <v>631</v>
      </c>
    </row>
    <row r="128" spans="1:8" x14ac:dyDescent="0.25">
      <c r="A128" t="s">
        <v>582</v>
      </c>
      <c r="F128" s="3" t="s">
        <v>631</v>
      </c>
      <c r="G128" s="3" t="s">
        <v>631</v>
      </c>
    </row>
    <row r="129" spans="1:8" x14ac:dyDescent="0.25">
      <c r="A129" t="s">
        <v>583</v>
      </c>
      <c r="B129" s="3" t="s">
        <v>631</v>
      </c>
    </row>
    <row r="130" spans="1:8" x14ac:dyDescent="0.25">
      <c r="A130" t="s">
        <v>584</v>
      </c>
      <c r="D130" s="3" t="s">
        <v>631</v>
      </c>
    </row>
    <row r="131" spans="1:8" x14ac:dyDescent="0.25">
      <c r="A131" t="s">
        <v>585</v>
      </c>
      <c r="B131" s="3" t="s">
        <v>631</v>
      </c>
    </row>
    <row r="132" spans="1:8" x14ac:dyDescent="0.25">
      <c r="A132" t="s">
        <v>586</v>
      </c>
      <c r="B132" s="3" t="s">
        <v>631</v>
      </c>
    </row>
    <row r="133" spans="1:8" x14ac:dyDescent="0.25">
      <c r="A133" t="s">
        <v>587</v>
      </c>
      <c r="C133" s="3" t="s">
        <v>631</v>
      </c>
    </row>
    <row r="134" spans="1:8" x14ac:dyDescent="0.25">
      <c r="A134" t="s">
        <v>588</v>
      </c>
      <c r="B134" s="3" t="s">
        <v>631</v>
      </c>
    </row>
    <row r="135" spans="1:8" x14ac:dyDescent="0.25">
      <c r="A135" t="s">
        <v>589</v>
      </c>
      <c r="D135" s="3" t="s">
        <v>631</v>
      </c>
    </row>
    <row r="136" spans="1:8" x14ac:dyDescent="0.25">
      <c r="A136" t="s">
        <v>590</v>
      </c>
      <c r="D136" s="3" t="s">
        <v>631</v>
      </c>
    </row>
    <row r="137" spans="1:8" x14ac:dyDescent="0.25">
      <c r="A137" t="s">
        <v>591</v>
      </c>
      <c r="E137" s="3" t="s">
        <v>631</v>
      </c>
    </row>
    <row r="138" spans="1:8" x14ac:dyDescent="0.25">
      <c r="A138" t="s">
        <v>592</v>
      </c>
      <c r="H138" s="3" t="s">
        <v>631</v>
      </c>
    </row>
    <row r="139" spans="1:8" x14ac:dyDescent="0.25">
      <c r="A139" t="s">
        <v>593</v>
      </c>
      <c r="H139" s="3" t="s">
        <v>631</v>
      </c>
    </row>
    <row r="140" spans="1:8" x14ac:dyDescent="0.25">
      <c r="A140" t="s">
        <v>594</v>
      </c>
      <c r="H140" s="3" t="s">
        <v>631</v>
      </c>
    </row>
    <row r="141" spans="1:8" x14ac:dyDescent="0.25">
      <c r="A141" t="s">
        <v>595</v>
      </c>
      <c r="B141" s="3" t="s">
        <v>631</v>
      </c>
    </row>
    <row r="142" spans="1:8" x14ac:dyDescent="0.25">
      <c r="A142" t="s">
        <v>596</v>
      </c>
      <c r="B142" s="3" t="s">
        <v>631</v>
      </c>
    </row>
    <row r="143" spans="1:8" x14ac:dyDescent="0.25">
      <c r="A143" t="s">
        <v>597</v>
      </c>
      <c r="H143" s="3" t="s">
        <v>631</v>
      </c>
    </row>
    <row r="144" spans="1:8" x14ac:dyDescent="0.25">
      <c r="A144" t="s">
        <v>598</v>
      </c>
      <c r="B144" s="3" t="s">
        <v>631</v>
      </c>
    </row>
    <row r="145" spans="1:8" x14ac:dyDescent="0.25">
      <c r="A145" t="s">
        <v>599</v>
      </c>
      <c r="C145" s="3" t="s">
        <v>631</v>
      </c>
    </row>
    <row r="146" spans="1:8" x14ac:dyDescent="0.25">
      <c r="A146" t="s">
        <v>600</v>
      </c>
      <c r="B146" s="3" t="s">
        <v>631</v>
      </c>
    </row>
    <row r="147" spans="1:8" x14ac:dyDescent="0.25">
      <c r="A147" t="s">
        <v>601</v>
      </c>
      <c r="D147" s="3" t="s">
        <v>631</v>
      </c>
    </row>
    <row r="148" spans="1:8" x14ac:dyDescent="0.25">
      <c r="A148" t="s">
        <v>602</v>
      </c>
      <c r="H148" s="3" t="s">
        <v>631</v>
      </c>
    </row>
    <row r="149" spans="1:8" x14ac:dyDescent="0.25">
      <c r="A149" t="s">
        <v>603</v>
      </c>
      <c r="D149" s="3" t="s">
        <v>631</v>
      </c>
    </row>
    <row r="150" spans="1:8" x14ac:dyDescent="0.25">
      <c r="A150" t="s">
        <v>604</v>
      </c>
      <c r="H150" s="3" t="s">
        <v>631</v>
      </c>
    </row>
    <row r="151" spans="1:8" x14ac:dyDescent="0.25">
      <c r="A151" t="s">
        <v>605</v>
      </c>
      <c r="C151" s="3" t="s">
        <v>631</v>
      </c>
    </row>
    <row r="152" spans="1:8" x14ac:dyDescent="0.25">
      <c r="A152" t="s">
        <v>606</v>
      </c>
      <c r="B152" s="3" t="s">
        <v>631</v>
      </c>
    </row>
    <row r="153" spans="1:8" x14ac:dyDescent="0.25">
      <c r="A153" t="s">
        <v>607</v>
      </c>
      <c r="C153" s="3" t="s">
        <v>631</v>
      </c>
    </row>
    <row r="154" spans="1:8" x14ac:dyDescent="0.25">
      <c r="A154" t="s">
        <v>608</v>
      </c>
      <c r="C154" s="3" t="s">
        <v>631</v>
      </c>
    </row>
    <row r="155" spans="1:8" x14ac:dyDescent="0.25">
      <c r="A155" t="s">
        <v>609</v>
      </c>
      <c r="C155" s="3" t="s">
        <v>631</v>
      </c>
    </row>
    <row r="156" spans="1:8" x14ac:dyDescent="0.25">
      <c r="A156" t="s">
        <v>610</v>
      </c>
      <c r="H156" s="3" t="s">
        <v>631</v>
      </c>
    </row>
    <row r="157" spans="1:8" x14ac:dyDescent="0.25">
      <c r="A157" t="s">
        <v>611</v>
      </c>
      <c r="D157" s="3" t="s">
        <v>631</v>
      </c>
    </row>
    <row r="158" spans="1:8" x14ac:dyDescent="0.25">
      <c r="A158" t="s">
        <v>612</v>
      </c>
      <c r="C158" s="3" t="s">
        <v>631</v>
      </c>
    </row>
    <row r="161" spans="2:8" x14ac:dyDescent="0.25">
      <c r="B161" s="3">
        <f>COUNTIF(B2:B158, "X")</f>
        <v>28</v>
      </c>
      <c r="C161" s="3">
        <f>COUNTIF(C2:C158, "X")</f>
        <v>40</v>
      </c>
      <c r="D161" s="3">
        <f>COUNTIF(D2:D158, "X")</f>
        <v>47</v>
      </c>
      <c r="E161" s="3">
        <f>COUNTIF(E2:E158, "X")</f>
        <v>4</v>
      </c>
      <c r="F161" s="3">
        <f t="shared" ref="F161:H161" si="0">COUNTIF(F2:F158, "X")</f>
        <v>21</v>
      </c>
      <c r="G161" s="3">
        <f t="shared" si="0"/>
        <v>21</v>
      </c>
      <c r="H161" s="3">
        <f t="shared" si="0"/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Povzetek</vt:lpstr>
      <vt:lpstr>FFH_T</vt:lpstr>
      <vt:lpstr>FFM_T</vt:lpstr>
      <vt:lpstr>FTT_T</vt:lpstr>
      <vt:lpstr>FFH_F</vt:lpstr>
      <vt:lpstr>FFM_F</vt:lpstr>
      <vt:lpstr>FTT_F</vt:lpstr>
      <vt:lpstr>TFH_F</vt:lpstr>
      <vt:lpstr>TTT_F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</cp:lastModifiedBy>
  <dcterms:created xsi:type="dcterms:W3CDTF">2026-03-05T14:42:52Z</dcterms:created>
  <dcterms:modified xsi:type="dcterms:W3CDTF">2026-03-06T13:04:18Z</dcterms:modified>
</cp:coreProperties>
</file>